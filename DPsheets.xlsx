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070" windowHeight="12080"/>
  </bookViews>
  <sheets>
    <sheet name="数据" sheetId="1" r:id="rId1"/>
    <sheet name="指标" sheetId="2" r:id="rId2"/>
    <sheet name="计算" sheetId="3" r:id="rId3"/>
    <sheet name="效率" sheetId="4" r:id="rId4"/>
    <sheet name="公平性" sheetId="7" r:id="rId5"/>
    <sheet name="报告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<sst xmlns="http://schemas.openxmlformats.org/spreadsheetml/2006/main" count="196" uniqueCount="91">
  <si>
    <t>省份</t>
  </si>
  <si>
    <t>2024GDP_亿元</t>
  </si>
  <si>
    <t>2024人口_万人</t>
  </si>
  <si>
    <t>2024教育经费_万元</t>
  </si>
  <si>
    <t>2024出生率_‰</t>
  </si>
  <si>
    <t>985录取率</t>
  </si>
  <si>
    <t>211录取率</t>
  </si>
  <si>
    <t>双一流录取率</t>
  </si>
  <si>
    <t>北京市</t>
  </si>
  <si>
    <t>天津市</t>
  </si>
  <si>
    <t>河北省</t>
  </si>
  <si>
    <t>山西省</t>
  </si>
  <si>
    <t>内蒙古自治区</t>
  </si>
  <si>
    <t>辽宁省</t>
  </si>
  <si>
    <t>吉林省</t>
  </si>
  <si>
    <t>黑龙江省</t>
  </si>
  <si>
    <t>上海市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</si>
  <si>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</si>
  <si>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</si>
  <si>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</si>
  <si>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</si>
  <si>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</si>
  <si>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</si>
  <si>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</si>
  <si>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</si>
  <si>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</si>
  <si>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</si>
  <si>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广西壮族自治区</t>
  </si>
  <si>
    <t>海南省</t>
  </si>
  <si>
    <t>重庆市</t>
  </si>
  <si>
    <t>四川省</t>
  </si>
  <si>
    <t>贵州省</t>
  </si>
  <si>
    <t>云南省</t>
  </si>
  <si>
    <t>西藏自治区</t>
  </si>
  <si>
    <t>-</t>
  </si>
  <si>
    <t>陕西省</t>
  </si>
  <si>
    <t>甘肃省</t>
  </si>
  <si>
    <t>青海省</t>
  </si>
  <si>
    <t>宁夏回族自治区</t>
  </si>
  <si>
    <t>新疆维吾尔自治区</t>
  </si>
  <si>
    <r>
      <rPr>
        <sz val="10"/>
        <color rgb="FF0F1115"/>
        <rFont val="宋体"/>
        <charset val="134"/>
      </rPr>
      <t>人均</t>
    </r>
    <r>
      <rPr>
        <sz val="10"/>
        <color rgb="FF0F1115"/>
        <rFont val="Consolas"/>
        <charset val="134"/>
      </rPr>
      <t>GDP_</t>
    </r>
    <r>
      <rPr>
        <sz val="10"/>
        <color rgb="FF0F1115"/>
        <rFont val="宋体"/>
        <charset val="134"/>
      </rPr>
      <t>元</t>
    </r>
  </si>
  <si>
    <r>
      <rPr>
        <sz val="10"/>
        <color rgb="FF0F1115"/>
        <rFont val="宋体"/>
        <charset val="134"/>
      </rPr>
      <t>教育投入强度</t>
    </r>
    <r>
      <rPr>
        <sz val="10"/>
        <color rgb="FF0F1115"/>
        <rFont val="Consolas"/>
        <charset val="134"/>
      </rPr>
      <t>_%</t>
    </r>
  </si>
  <si>
    <r>
      <rPr>
        <sz val="10"/>
        <color rgb="FF0F1115"/>
        <rFont val="宋体"/>
        <charset val="134"/>
      </rPr>
      <t>人均教育经费</t>
    </r>
    <r>
      <rPr>
        <sz val="10"/>
        <color rgb="FF0F1115"/>
        <rFont val="Consolas"/>
        <charset val="134"/>
      </rPr>
      <t>_</t>
    </r>
    <r>
      <rPr>
        <sz val="10"/>
        <color rgb="FF0F1115"/>
        <rFont val="宋体"/>
        <charset val="134"/>
      </rPr>
      <t>元</t>
    </r>
  </si>
  <si>
    <t>人口压力指数</t>
  </si>
  <si>
    <t>效率比值</t>
  </si>
  <si>
    <t>公平系数</t>
  </si>
  <si>
    <r>
      <rPr>
        <sz val="10"/>
        <color rgb="FF0F1115"/>
        <rFont val="Consolas"/>
        <charset val="134"/>
      </rPr>
      <t>985</t>
    </r>
    <r>
      <rPr>
        <sz val="10"/>
        <color rgb="FF0F1115"/>
        <rFont val="宋体"/>
        <charset val="134"/>
      </rPr>
      <t>排名</t>
    </r>
  </si>
  <si>
    <t>关键指标</t>
  </si>
  <si>
    <t>数值</t>
  </si>
  <si>
    <t>说明</t>
  </si>
  <si>
    <t>985录取率排名TOP5</t>
  </si>
  <si>
    <t>录取率</t>
  </si>
  <si>
    <t>教育投入强度</t>
  </si>
  <si>
    <t>省份分类（按投入产出）</t>
  </si>
  <si>
    <t>高投入高产出</t>
  </si>
  <si>
    <t>高投入低产出</t>
  </si>
  <si>
    <t>低投入高产出</t>
  </si>
  <si>
    <t>低投入低产出</t>
  </si>
  <si>
    <t>全国平均985录取率</t>
  </si>
  <si>
    <t>第1名</t>
  </si>
  <si>
    <t>分类标准</t>
  </si>
  <si>
    <t>最高985录取率（省份）</t>
  </si>
  <si>
    <t>第2名</t>
  </si>
  <si>
    <t>最低985录取率（省份）</t>
  </si>
  <si>
    <t>第3名</t>
  </si>
  <si>
    <t>平均教育投入强度</t>
  </si>
  <si>
    <t>第4名</t>
  </si>
  <si>
    <t>最高效率比值（省份）</t>
  </si>
  <si>
    <t>第5名</t>
  </si>
  <si>
    <t>最大人口压力（省份）</t>
  </si>
  <si>
    <t>第6名</t>
  </si>
  <si>
    <t>教育投入强度标准差</t>
  </si>
  <si>
    <t>985录取率标准差</t>
  </si>
  <si>
    <t>相关系数（GDP vs 985录取率）</t>
  </si>
  <si>
    <t>r=0.5189</t>
  </si>
  <si>
    <r>
      <rPr>
        <sz val="10"/>
        <color rgb="FF0F1115"/>
        <rFont val="Consolas"/>
        <charset val="134"/>
      </rPr>
      <t>985</t>
    </r>
    <r>
      <rPr>
        <sz val="10"/>
        <color rgb="FF0F1115"/>
        <rFont val="宋体"/>
        <charset val="134"/>
      </rPr>
      <t>录取率</t>
    </r>
    <r>
      <rPr>
        <sz val="10"/>
        <color rgb="FF0F1115"/>
        <rFont val="Consolas"/>
        <charset val="134"/>
      </rPr>
      <t>_%</t>
    </r>
  </si>
  <si>
    <t>分类</t>
  </si>
  <si>
    <t xml:space="preserve"> </t>
  </si>
  <si>
    <t>序号</t>
  </si>
  <si>
    <t>人口占比_%</t>
  </si>
  <si>
    <t>985录取率占比_%</t>
  </si>
  <si>
    <t>累计人口%</t>
  </si>
  <si>
    <t>累计985录取率%</t>
  </si>
  <si>
    <t>基尼系数计算</t>
  </si>
  <si>
    <t>数据分析报告摘要</t>
  </si>
  <si>
    <t>一、核心发现</t>
  </si>
  <si>
    <r>
      <rPr>
        <sz val="10"/>
        <color rgb="FF0F1115"/>
        <rFont val="Consolas"/>
        <charset val="134"/>
      </rPr>
      <t xml:space="preserve">1. </t>
    </r>
    <r>
      <rPr>
        <sz val="10"/>
        <color rgb="FF0F1115"/>
        <rFont val="宋体"/>
        <charset val="134"/>
      </rPr>
      <t>教育投入效率最高的省份是：</t>
    </r>
  </si>
  <si>
    <r>
      <rPr>
        <sz val="10"/>
        <color rgb="FF0F1115"/>
        <rFont val="Consolas"/>
        <charset val="134"/>
      </rPr>
      <t xml:space="preserve">2. </t>
    </r>
    <r>
      <rPr>
        <sz val="10"/>
        <color rgb="FF0F1115"/>
        <rFont val="宋体"/>
        <charset val="134"/>
      </rPr>
      <t>教育机会最不公平的省份是：</t>
    </r>
  </si>
  <si>
    <r>
      <rPr>
        <sz val="10"/>
        <color rgb="FF0F1115"/>
        <rFont val="Consolas"/>
        <charset val="134"/>
      </rPr>
      <t xml:space="preserve">3. </t>
    </r>
    <r>
      <rPr>
        <sz val="10"/>
        <color rgb="FF0F1115"/>
        <rFont val="宋体"/>
        <charset val="134"/>
      </rPr>
      <t>人口升学压力最大的省份是：</t>
    </r>
  </si>
  <si>
    <r>
      <rPr>
        <sz val="10"/>
        <color rgb="FF0F1115"/>
        <rFont val="Consolas"/>
        <charset val="134"/>
      </rPr>
      <t>4. 985</t>
    </r>
    <r>
      <rPr>
        <sz val="10"/>
        <color rgb="FF0F1115"/>
        <rFont val="宋体"/>
        <charset val="134"/>
      </rPr>
      <t>录取率与人均</t>
    </r>
    <r>
      <rPr>
        <sz val="10"/>
        <color rgb="FF0F1115"/>
        <rFont val="Consolas"/>
        <charset val="134"/>
      </rPr>
      <t>GDP</t>
    </r>
    <r>
      <rPr>
        <sz val="10"/>
        <color rgb="FF0F1115"/>
        <rFont val="宋体"/>
        <charset val="134"/>
      </rPr>
      <t>的相关系数为：</t>
    </r>
  </si>
  <si>
    <r>
      <rPr>
        <sz val="10"/>
        <color rgb="FF0F1115"/>
        <rFont val="Consolas"/>
        <charset val="134"/>
      </rPr>
      <t xml:space="preserve">5. </t>
    </r>
    <r>
      <rPr>
        <sz val="10"/>
        <color rgb="FF0F1115"/>
        <rFont val="宋体"/>
        <charset val="134"/>
      </rPr>
      <t>教育机会基尼系数为：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</si>
</sst>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9.75"/>
      <color rgb="FF0F1115"/>
      <name val="Consolas"/>
      <charset val="134"/>
    </font>
    <font>
      <sz val="10"/>
      <color rgb="FF0F1115"/>
      <name val="宋体"/>
      <charset val="134"/>
    </font>
    <font>
      <sz val="10"/>
      <color rgb="FF0F1115"/>
      <name val="Consolas"/>
      <charset val="134"/>
    </font>
    <font>
      <sz val="9.5"/>
      <color rgb="FF0F1115"/>
      <name val="Consolas"/>
      <charset val="134"/>
    </font>
    <font>
      <sz val="11"/>
      <color rgb="FF000000"/>
      <name val="宋体"/>
      <charset val="134"/>
    </font>
    <font>
      <sz val="10.5"/>
      <color theme="1"/>
      <name val="Calibri"/>
      <charset val="134"/>
    </font>
    <font>
      <sz val="10"/>
      <name val="Arial"/>
      <charset val="0"/>
    </font>
    <font>
      <sz val="10"/>
      <name val="宋体"/>
      <charset val="134"/>
    </font>
    <font>
      <sz val="11"/>
      <color rgb="FF666666"/>
      <name val="微软雅黑"/>
      <charset val="0"/>
    </font>
    <font>
      <sz val="11"/>
      <name val="微软雅黑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AFA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4" borderId="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2">
      <alignment vertical="center"/>
    </xf>
    <xf numFmtId="0" fontId="17" fillId="0" borderId="2">
      <alignment vertical="center"/>
    </xf>
    <xf numFmtId="0" fontId="18" fillId="0" borderId="3">
      <alignment vertical="center"/>
    </xf>
    <xf numFmtId="0" fontId="18" fillId="0" borderId="0">
      <alignment vertical="center"/>
    </xf>
    <xf numFmtId="0" fontId="19" fillId="5" borderId="4">
      <alignment vertical="center"/>
    </xf>
    <xf numFmtId="0" fontId="20" fillId="6" borderId="5">
      <alignment vertical="center"/>
    </xf>
    <xf numFmtId="0" fontId="21" fillId="6" borderId="4">
      <alignment vertical="center"/>
    </xf>
    <xf numFmtId="0" fontId="22" fillId="7" borderId="6">
      <alignment vertical="center"/>
    </xf>
    <xf numFmtId="0" fontId="23" fillId="0" borderId="7">
      <alignment vertical="center"/>
    </xf>
    <xf numFmtId="0" fontId="24" fillId="0" borderId="8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29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>
      <alignment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 wrapText="1"/>
    </xf>
    <xf numFmtId="0" fontId="5" fillId="0" borderId="0" xfId="0" applyFont="1" applyAlignment="1">
      <alignment horizontal="justify" vertical="center"/>
    </xf>
    <xf numFmtId="0" fontId="6" fillId="0" borderId="0" xfId="0" applyFont="1" applyAlignment="1">
      <alignment horizontal="justify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justify" vertical="center" wrapText="1"/>
    </xf>
    <xf numFmtId="0" fontId="7" fillId="0" borderId="0" xfId="0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8" fillId="0" borderId="0" xfId="0" applyFont="1" applyFill="1" applyBorder="1" applyAlignment="1">
      <alignment horizontal="right" vertical="center"/>
    </xf>
    <xf numFmtId="10" fontId="9" fillId="2" borderId="0" xfId="0" applyNumberFormat="1" applyFont="1" applyFill="1" applyBorder="1" applyAlignment="1">
      <alignment horizontal="left" wrapText="1"/>
    </xf>
    <xf numFmtId="10" fontId="9" fillId="3" borderId="0" xfId="0" applyNumberFormat="1" applyFont="1" applyFill="1" applyBorder="1" applyAlignment="1">
      <alignment horizontal="left" wrapText="1"/>
    </xf>
    <xf numFmtId="0" fontId="10" fillId="0" borderId="0" xfId="0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altLang="en-US"/>
              <a:t>教育经费占比与</a:t>
            </a:r>
            <a:r>
              <a:rPr lang="en-US" altLang="zh-CN"/>
              <a:t>985</a:t>
            </a:r>
            <a:r>
              <a:rPr altLang="en-US"/>
              <a:t>录取率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175048198520504"/>
          <c:y val="0.0733271848916299"/>
          <c:w val="0.964334705075446"/>
          <c:h val="0.878638316624435"/>
        </c:manualLayout>
      </c:layout>
      <c:scatterChart>
        <c:scatterStyle val="marker"/>
        <c:varyColors val="0"/>
        <c:ser>
          <c:idx val="0"/>
          <c:order val="0"/>
          <c:tx>
            <c:strRef>
              <c:f>"效率!$A$1"</c:f>
              <c:strCache>
                <c:ptCount val="1"/>
                <c:pt idx="0">
                  <c:v>效率!$A$1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2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"/>
              <c:layout>
                <c:manualLayout>
                  <c:x val="0.0138102472034249"/>
                  <c:y val="0.00829273349227739"/>
                </c:manualLayout>
              </c:layout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5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微软雅黑" panose="020B0503020204020204" pitchFamily="34" charset="-122"/>
                        <a:ea typeface="微软雅黑" panose="020B0503020204020204" pitchFamily="34" charset="-122"/>
                        <a:cs typeface="微软雅黑" panose="020B0503020204020204" pitchFamily="34" charset="-122"/>
                        <a:sym typeface="微软雅黑" panose="020B0503020204020204" pitchFamily="34" charset="-122"/>
                      </a:defRPr>
                    </a:pPr>
                    <a:r>
                      <a:t>吉林省</a:t>
                    </a:r>
                  </a:p>
                </c:rich>
              </c:tx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zh-CN" sz="10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微软雅黑" panose="020B0503020204020204" pitchFamily="34" charset="-122"/>
                      <a:ea typeface="微软雅黑" panose="020B0503020204020204" pitchFamily="34" charset="-122"/>
                      <a:cs typeface="微软雅黑" panose="020B0503020204020204" pitchFamily="34" charset="-122"/>
                      <a:sym typeface="微软雅黑" panose="020B0503020204020204" pitchFamily="34" charset="-122"/>
                    </a:defRPr>
                  </a:pPr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"/>
              <c:layout>
                <c:manualLayout>
                  <c:x val="0.0339732081204254"/>
                  <c:y val="0.0361770498600601"/>
                </c:manualLayout>
              </c:layout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12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"/>
              <c:layout>
                <c:manualLayout>
                  <c:x val="0.000690512360171247"/>
                  <c:y val="0"/>
                </c:manualLayout>
              </c:layout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15"/>
              <c:layout>
                <c:manualLayout>
                  <c:x val="0.000828614832205496"/>
                  <c:y val="0.00829273349227739"/>
                </c:manualLayout>
              </c:layout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16"/>
              <c:layout>
                <c:manualLayout>
                  <c:x val="0.0154269972451791"/>
                  <c:y val="0.0558670820353063"/>
                </c:manualLayout>
              </c:layout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17"/>
              <c:layout>
                <c:manualLayout>
                  <c:x val="0.034318464300511"/>
                  <c:y val="0.0373173007152483"/>
                </c:manualLayout>
              </c:layout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18"/>
              <c:layout>
                <c:manualLayout>
                  <c:x val="-0.0244441375500621"/>
                  <c:y val="0.0669638229501399"/>
                </c:manualLayout>
              </c:layout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19"/>
              <c:layout>
                <c:manualLayout>
                  <c:x val="0.0690512360171247"/>
                  <c:y val="0.0343111848242977"/>
                </c:manualLayout>
              </c:layout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20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21"/>
              <c:layout>
                <c:manualLayout>
                  <c:x val="-0.0165722966441099"/>
                  <c:y val="-0.00238416087902975"/>
                </c:manualLayout>
              </c:layout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22"/>
              <c:layout>
                <c:manualLayout>
                  <c:x val="0.0406711780140864"/>
                  <c:y val="0.0153415569607132"/>
                </c:manualLayout>
              </c:layout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23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24"/>
              <c:layout>
                <c:manualLayout>
                  <c:x val="0.00117387101229112"/>
                  <c:y val="0.0591893853011299"/>
                </c:manualLayout>
              </c:layout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25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26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27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28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29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0"/>
              <c:layout/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效率!$B$2:$B$32</c:f>
              <c:numCache>
                <c:formatCode>General</c:formatCode>
                <c:ptCount val="31"/>
                <c:pt idx="0">
                  <c:v>2.5021517521984</c:v>
                </c:pt>
                <c:pt idx="1">
                  <c:v>2.77414379476595</c:v>
                </c:pt>
                <c:pt idx="2">
                  <c:v>3.84801028470193</c:v>
                </c:pt>
                <c:pt idx="3">
                  <c:v>3.6168301647009</c:v>
                </c:pt>
                <c:pt idx="4">
                  <c:v>2.97800460580818</c:v>
                </c:pt>
                <c:pt idx="5">
                  <c:v>2.27184501743186</c:v>
                </c:pt>
                <c:pt idx="6">
                  <c:v>3.75574464529426</c:v>
                </c:pt>
                <c:pt idx="7">
                  <c:v>3.73917423787241</c:v>
                </c:pt>
                <c:pt idx="8">
                  <c:v>2.28801317343728</c:v>
                </c:pt>
                <c:pt idx="9">
                  <c:v>2.0129481490132</c:v>
                </c:pt>
                <c:pt idx="10">
                  <c:v>2.74581551659481</c:v>
                </c:pt>
                <c:pt idx="11">
                  <c:v>3.07886191066899</c:v>
                </c:pt>
                <c:pt idx="12">
                  <c:v>2.22889146656048</c:v>
                </c:pt>
                <c:pt idx="13">
                  <c:v>4.07405891382209</c:v>
                </c:pt>
                <c:pt idx="14">
                  <c:v>2.78873605246444</c:v>
                </c:pt>
                <c:pt idx="15">
                  <c:v>3.23896839125649</c:v>
                </c:pt>
                <c:pt idx="16">
                  <c:v>2.31624814623498</c:v>
                </c:pt>
                <c:pt idx="17">
                  <c:v>3.00841614848491</c:v>
                </c:pt>
                <c:pt idx="18">
                  <c:v>2.86341960746658</c:v>
                </c:pt>
                <c:pt idx="19">
                  <c:v>4.2805433970694</c:v>
                </c:pt>
                <c:pt idx="20">
                  <c:v>4.56670489055786</c:v>
                </c:pt>
                <c:pt idx="21">
                  <c:v>2.66708497446666</c:v>
                </c:pt>
                <c:pt idx="22">
                  <c:v>3.04446883163052</c:v>
                </c:pt>
                <c:pt idx="23">
                  <c:v>5.33738325590834</c:v>
                </c:pt>
                <c:pt idx="24">
                  <c:v>3.79785692314035</c:v>
                </c:pt>
                <c:pt idx="25">
                  <c:v>12.0666208542804</c:v>
                </c:pt>
                <c:pt idx="26">
                  <c:v>3.15019077740385</c:v>
                </c:pt>
                <c:pt idx="27">
                  <c:v>5.56706580839659</c:v>
                </c:pt>
                <c:pt idx="28">
                  <c:v>5.87425331578414</c:v>
                </c:pt>
                <c:pt idx="29">
                  <c:v>4.09591480700734</c:v>
                </c:pt>
                <c:pt idx="30">
                  <c:v>5.92098022314102</c:v>
                </c:pt>
              </c:numCache>
            </c:numRef>
          </c:xVal>
          <c:yVal>
            <c:numRef>
              <c:f>效率!$C$2:$C$32</c:f>
              <c:numCache>
                <c:formatCode>General</c:formatCode>
                <c:ptCount val="31"/>
                <c:pt idx="0">
                  <c:v>5.55</c:v>
                </c:pt>
                <c:pt idx="1">
                  <c:v>3.91</c:v>
                </c:pt>
                <c:pt idx="2">
                  <c:v>1.16</c:v>
                </c:pt>
                <c:pt idx="3">
                  <c:v>1.9</c:v>
                </c:pt>
                <c:pt idx="4">
                  <c:v>2.64</c:v>
                </c:pt>
                <c:pt idx="5">
                  <c:v>3.1</c:v>
                </c:pt>
                <c:pt idx="6">
                  <c:v>4.7</c:v>
                </c:pt>
                <c:pt idx="7">
                  <c:v>2.46</c:v>
                </c:pt>
                <c:pt idx="8">
                  <c:v>3.63</c:v>
                </c:pt>
                <c:pt idx="9">
                  <c:v>1.88</c:v>
                </c:pt>
                <c:pt idx="10">
                  <c:v>2.26</c:v>
                </c:pt>
                <c:pt idx="11">
                  <c:v>1.39</c:v>
                </c:pt>
                <c:pt idx="12">
                  <c:v>2.33</c:v>
                </c:pt>
                <c:pt idx="13">
                  <c:v>1.38</c:v>
                </c:pt>
                <c:pt idx="14">
                  <c:v>1.75</c:v>
                </c:pt>
                <c:pt idx="15">
                  <c:v>0.97</c:v>
                </c:pt>
                <c:pt idx="16">
                  <c:v>2.28</c:v>
                </c:pt>
                <c:pt idx="17">
                  <c:v>1.69</c:v>
                </c:pt>
                <c:pt idx="18">
                  <c:v>1.69</c:v>
                </c:pt>
                <c:pt idx="19">
                  <c:v>1.39</c:v>
                </c:pt>
                <c:pt idx="20">
                  <c:v>1.85</c:v>
                </c:pt>
                <c:pt idx="21">
                  <c:v>2.68</c:v>
                </c:pt>
                <c:pt idx="22">
                  <c:v>1.77</c:v>
                </c:pt>
                <c:pt idx="23">
                  <c:v>1.53</c:v>
                </c:pt>
                <c:pt idx="24">
                  <c:v>1.15</c:v>
                </c:pt>
                <c:pt idx="26">
                  <c:v>2.96</c:v>
                </c:pt>
                <c:pt idx="27">
                  <c:v>2.96</c:v>
                </c:pt>
                <c:pt idx="28">
                  <c:v>2.62</c:v>
                </c:pt>
                <c:pt idx="29">
                  <c:v>2.04</c:v>
                </c:pt>
                <c:pt idx="30">
                  <c:v>3.31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效率!$A$2:$A$32</c15:f>
                <c15:dlblRangeCache>
                  <c:ptCount val="31"/>
                  <c:pt idx="0">
                    <c:v>北京市</c:v>
                  </c:pt>
                  <c:pt idx="1">
                    <c:v>天津市</c:v>
                  </c:pt>
                  <c:pt idx="2">
                    <c:v>河北省</c:v>
                  </c:pt>
                  <c:pt idx="3">
                    <c:v>山西省</c:v>
                  </c:pt>
                  <c:pt idx="4">
                    <c:v>内蒙古自治区</c:v>
                  </c:pt>
                  <c:pt idx="5">
                    <c:v>辽宁省</c:v>
                  </c:pt>
                  <c:pt idx="6">
                    <c:v>吉林省</c:v>
                  </c:pt>
                  <c:pt idx="7">
                    <c:v>黑龙江省</c:v>
                  </c:pt>
                  <c:pt idx="8">
                    <c:v>上海市</c:v>
                  </c:pt>
                  <c:pt idx="9">
                    <c:v>江苏省</c:v>
                  </c:pt>
                  <c:pt idx="10">
                    <c:v>浙江省</c:v>
                  </c:pt>
                  <c:pt idx="11">
                    <c:v>安徽省</c:v>
                  </c:pt>
                  <c:pt idx="12">
                    <c:v>福建省</c:v>
                  </c:pt>
                  <c:pt idx="13">
                    <c:v>江西省</c:v>
                  </c:pt>
                  <c:pt idx="14">
                    <c:v>山东省</c:v>
                  </c:pt>
                  <c:pt idx="15">
                    <c:v>河南省</c:v>
                  </c:pt>
                  <c:pt idx="16">
                    <c:v>湖北省</c:v>
                  </c:pt>
                  <c:pt idx="17">
                    <c:v>湖南省</c:v>
                  </c:pt>
                  <c:pt idx="18">
                    <c:v>广东省</c:v>
                  </c:pt>
                  <c:pt idx="19">
                    <c:v>广西壮族自治区</c:v>
                  </c:pt>
                  <c:pt idx="20">
                    <c:v>海南省</c:v>
                  </c:pt>
                  <c:pt idx="21">
                    <c:v>重庆市</c:v>
                  </c:pt>
                  <c:pt idx="22">
                    <c:v>四川省</c:v>
                  </c:pt>
                  <c:pt idx="23">
                    <c:v>贵州省</c:v>
                  </c:pt>
                  <c:pt idx="24">
                    <c:v>云南省</c:v>
                  </c:pt>
                  <c:pt idx="25">
                    <c:v>西藏自治区</c:v>
                  </c:pt>
                  <c:pt idx="26">
                    <c:v>陕西省</c:v>
                  </c:pt>
                  <c:pt idx="27">
                    <c:v>甘肃省</c:v>
                  </c:pt>
                  <c:pt idx="28">
                    <c:v>青海省</c:v>
                  </c:pt>
                  <c:pt idx="29">
                    <c:v>宁夏回族自治区</c:v>
                  </c:pt>
                  <c:pt idx="30">
                    <c:v>新疆维吾尔自治区</c:v>
                  </c:pt>
                </c15:dlblRangeCache>
              </c15:datalabelsRange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470241217"/>
        <c:axId val="213266291"/>
      </c:scatterChart>
      <c:valAx>
        <c:axId val="4702412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213266291"/>
        <c:crosses val="autoZero"/>
        <c:crossBetween val="midCat"/>
      </c:valAx>
      <c:valAx>
        <c:axId val="21326629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7024121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e01bcca2-cf23-443f-b884-8d1a73413491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altLang="en-US"/>
              <a:t>人均</a:t>
            </a:r>
            <a:r>
              <a:rPr lang="en-US" altLang="zh-CN"/>
              <a:t>GDP</a:t>
            </a:r>
            <a:r>
              <a:rPr altLang="en-US"/>
              <a:t>与</a:t>
            </a:r>
            <a:r>
              <a:rPr lang="en-US" altLang="zh-CN"/>
              <a:t>985</a:t>
            </a:r>
            <a:r>
              <a:rPr altLang="en-US"/>
              <a:t>录取率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/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"/>
              <c:layout/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2"/>
              <c:layout>
                <c:manualLayout>
                  <c:x val="-0.0472351168661943"/>
                  <c:y val="0.0297862916620529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3"/>
              <c:layout>
                <c:manualLayout>
                  <c:x val="-0.0260915867944622"/>
                  <c:y val="0.0229849193967759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4"/>
              <c:layout>
                <c:manualLayout>
                  <c:x val="-0.00658591975775927"/>
                  <c:y val="-0.000728862973760933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5"/>
              <c:layout>
                <c:manualLayout>
                  <c:x val="-0.0288417865253596"/>
                  <c:y val="0.0228029987505206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6"/>
              <c:layout/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"/>
              <c:layout/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"/>
              <c:layout/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"/>
              <c:layout/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"/>
              <c:layout>
                <c:manualLayout>
                  <c:x val="-0.0137017411052233"/>
                  <c:y val="0.0201999167013744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11"/>
              <c:layout>
                <c:manualLayout>
                  <c:x val="-0.0399055297662676"/>
                  <c:y val="-0.0283468054479017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12"/>
              <c:layout>
                <c:manualLayout>
                  <c:x val="-0.0060560181680545"/>
                  <c:y val="0.00135360266555602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13"/>
              <c:layout>
                <c:manualLayout>
                  <c:x val="-0.0344733910721682"/>
                  <c:y val="0.0270568239530764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14"/>
              <c:layout/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"/>
              <c:layout>
                <c:manualLayout>
                  <c:x val="-0.0797296196758694"/>
                  <c:y val="0.00686524194441369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16"/>
              <c:layout/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7"/>
              <c:layout>
                <c:manualLayout>
                  <c:x val="-0.035749216387632"/>
                  <c:y val="-0.0185833818027729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18"/>
              <c:layout/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9"/>
              <c:layout>
                <c:manualLayout>
                  <c:x val="-0.0415883909212736"/>
                  <c:y val="0.0460412286494782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20"/>
              <c:layout>
                <c:manualLayout>
                  <c:x val="-0.0660323656176304"/>
                  <c:y val="0.0139211136890951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0687972676262503"/>
                      <c:h val="0.0272898022317976"/>
                    </c:manualLayout>
                  </c15:layout>
                  <c15:dlblFieldTable/>
                  <c15:showDataLabelsRange val="1"/>
                </c:ext>
              </c:extLst>
            </c:dLbl>
            <c:dLbl>
              <c:idx val="21"/>
              <c:layout/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22"/>
              <c:layout>
                <c:manualLayout>
                  <c:x val="-0.00447919211662187"/>
                  <c:y val="-0.0167201860259108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0674322013193257"/>
                      <c:h val="0.0269073192337504"/>
                    </c:manualLayout>
                  </c15:layout>
                  <c15:dlblFieldTable/>
                  <c15:showDataLabelsRange val="1"/>
                </c:ext>
              </c:extLst>
            </c:dLbl>
            <c:dLbl>
              <c:idx val="23"/>
              <c:layout/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24"/>
              <c:layout>
                <c:manualLayout>
                  <c:x val="-0.0522843879794772"/>
                  <c:y val="-0.030561399623519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25"/>
              <c:layout/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26"/>
              <c:layout/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27"/>
              <c:layout/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28"/>
              <c:layout/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29"/>
              <c:layout>
                <c:manualLayout>
                  <c:x val="-0.00427212986762556"/>
                  <c:y val="6.90900212905316e-5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30"/>
              <c:layout>
                <c:manualLayout>
                  <c:x val="-0.00522331566994701"/>
                  <c:y val="-0.00322782174094127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效率!$C$2:$C$32</c:f>
              <c:numCache>
                <c:formatCode>General</c:formatCode>
                <c:ptCount val="31"/>
                <c:pt idx="0">
                  <c:v>5.55</c:v>
                </c:pt>
                <c:pt idx="1">
                  <c:v>3.91</c:v>
                </c:pt>
                <c:pt idx="2">
                  <c:v>1.16</c:v>
                </c:pt>
                <c:pt idx="3">
                  <c:v>1.9</c:v>
                </c:pt>
                <c:pt idx="4">
                  <c:v>2.64</c:v>
                </c:pt>
                <c:pt idx="5">
                  <c:v>3.1</c:v>
                </c:pt>
                <c:pt idx="6">
                  <c:v>4.7</c:v>
                </c:pt>
                <c:pt idx="7">
                  <c:v>2.46</c:v>
                </c:pt>
                <c:pt idx="8">
                  <c:v>3.63</c:v>
                </c:pt>
                <c:pt idx="9">
                  <c:v>1.88</c:v>
                </c:pt>
                <c:pt idx="10">
                  <c:v>2.26</c:v>
                </c:pt>
                <c:pt idx="11">
                  <c:v>1.39</c:v>
                </c:pt>
                <c:pt idx="12">
                  <c:v>2.33</c:v>
                </c:pt>
                <c:pt idx="13">
                  <c:v>1.38</c:v>
                </c:pt>
                <c:pt idx="14">
                  <c:v>1.75</c:v>
                </c:pt>
                <c:pt idx="15">
                  <c:v>0.97</c:v>
                </c:pt>
                <c:pt idx="16">
                  <c:v>2.28</c:v>
                </c:pt>
                <c:pt idx="17">
                  <c:v>1.69</c:v>
                </c:pt>
                <c:pt idx="18">
                  <c:v>1.69</c:v>
                </c:pt>
                <c:pt idx="19">
                  <c:v>1.39</c:v>
                </c:pt>
                <c:pt idx="20">
                  <c:v>1.85</c:v>
                </c:pt>
                <c:pt idx="21">
                  <c:v>2.68</c:v>
                </c:pt>
                <c:pt idx="22">
                  <c:v>1.77</c:v>
                </c:pt>
                <c:pt idx="23">
                  <c:v>1.53</c:v>
                </c:pt>
                <c:pt idx="24">
                  <c:v>1.15</c:v>
                </c:pt>
                <c:pt idx="26">
                  <c:v>2.96</c:v>
                </c:pt>
                <c:pt idx="27">
                  <c:v>2.96</c:v>
                </c:pt>
                <c:pt idx="28">
                  <c:v>2.62</c:v>
                </c:pt>
                <c:pt idx="29">
                  <c:v>2.04</c:v>
                </c:pt>
                <c:pt idx="30">
                  <c:v>3.31</c:v>
                </c:pt>
              </c:numCache>
            </c:numRef>
          </c:xVal>
          <c:yVal>
            <c:numRef>
              <c:f>效率!$D$2:$D$32</c:f>
              <c:numCache>
                <c:formatCode>General</c:formatCode>
                <c:ptCount val="31"/>
                <c:pt idx="0">
                  <c:v>228323.8662</c:v>
                </c:pt>
                <c:pt idx="1">
                  <c:v>132142.9619</c:v>
                </c:pt>
                <c:pt idx="2">
                  <c:v>64417.05069</c:v>
                </c:pt>
                <c:pt idx="3">
                  <c:v>73983.45908</c:v>
                </c:pt>
                <c:pt idx="4">
                  <c:v>110195.1424</c:v>
                </c:pt>
                <c:pt idx="5">
                  <c:v>78490.25271</c:v>
                </c:pt>
                <c:pt idx="6">
                  <c:v>61981.87311</c:v>
                </c:pt>
                <c:pt idx="7">
                  <c:v>54397.16078</c:v>
                </c:pt>
                <c:pt idx="8">
                  <c:v>217446.371</c:v>
                </c:pt>
                <c:pt idx="9">
                  <c:v>160694.3467</c:v>
                </c:pt>
                <c:pt idx="10">
                  <c:v>135128.3358</c:v>
                </c:pt>
                <c:pt idx="11">
                  <c:v>82680.38543</c:v>
                </c:pt>
                <c:pt idx="12">
                  <c:v>137755.7834</c:v>
                </c:pt>
                <c:pt idx="13">
                  <c:v>75971.79032</c:v>
                </c:pt>
                <c:pt idx="14">
                  <c:v>97783.53175</c:v>
                </c:pt>
                <c:pt idx="15">
                  <c:v>64987.22534</c:v>
                </c:pt>
                <c:pt idx="16">
                  <c:v>102867.6723</c:v>
                </c:pt>
                <c:pt idx="17">
                  <c:v>81405.41367</c:v>
                </c:pt>
                <c:pt idx="18">
                  <c:v>110824.5696</c:v>
                </c:pt>
                <c:pt idx="19">
                  <c:v>57150.20946</c:v>
                </c:pt>
                <c:pt idx="20">
                  <c:v>75722.32824</c:v>
                </c:pt>
                <c:pt idx="21">
                  <c:v>100919.1223</c:v>
                </c:pt>
                <c:pt idx="22">
                  <c:v>77351.74558</c:v>
                </c:pt>
                <c:pt idx="23">
                  <c:v>58723.05699</c:v>
                </c:pt>
                <c:pt idx="24">
                  <c:v>67742.4275</c:v>
                </c:pt>
                <c:pt idx="25">
                  <c:v>74727.02703</c:v>
                </c:pt>
                <c:pt idx="26">
                  <c:v>89903.36453</c:v>
                </c:pt>
                <c:pt idx="27">
                  <c:v>52900.32547</c:v>
                </c:pt>
                <c:pt idx="28">
                  <c:v>66623.94604</c:v>
                </c:pt>
                <c:pt idx="29">
                  <c:v>75484.22497</c:v>
                </c:pt>
                <c:pt idx="30">
                  <c:v>78284.78841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效率!$A$2:$A$32</c15:f>
                <c15:dlblRangeCache>
                  <c:ptCount val="31"/>
                  <c:pt idx="0">
                    <c:v>北京市</c:v>
                  </c:pt>
                  <c:pt idx="1">
                    <c:v>天津市</c:v>
                  </c:pt>
                  <c:pt idx="2">
                    <c:v>河北省</c:v>
                  </c:pt>
                  <c:pt idx="3">
                    <c:v>山西省</c:v>
                  </c:pt>
                  <c:pt idx="4">
                    <c:v>内蒙古自治区</c:v>
                  </c:pt>
                  <c:pt idx="5">
                    <c:v>辽宁省</c:v>
                  </c:pt>
                  <c:pt idx="6">
                    <c:v>吉林省</c:v>
                  </c:pt>
                  <c:pt idx="7">
                    <c:v>黑龙江省</c:v>
                  </c:pt>
                  <c:pt idx="8">
                    <c:v>上海市</c:v>
                  </c:pt>
                  <c:pt idx="9">
                    <c:v>江苏省</c:v>
                  </c:pt>
                  <c:pt idx="10">
                    <c:v>浙江省</c:v>
                  </c:pt>
                  <c:pt idx="11">
                    <c:v>安徽省</c:v>
                  </c:pt>
                  <c:pt idx="12">
                    <c:v>福建省</c:v>
                  </c:pt>
                  <c:pt idx="13">
                    <c:v>江西省</c:v>
                  </c:pt>
                  <c:pt idx="14">
                    <c:v>山东省</c:v>
                  </c:pt>
                  <c:pt idx="15">
                    <c:v>河南省</c:v>
                  </c:pt>
                  <c:pt idx="16">
                    <c:v>湖北省</c:v>
                  </c:pt>
                  <c:pt idx="17">
                    <c:v>湖南省</c:v>
                  </c:pt>
                  <c:pt idx="18">
                    <c:v>广东省</c:v>
                  </c:pt>
                  <c:pt idx="19">
                    <c:v>广西壮族自治区</c:v>
                  </c:pt>
                  <c:pt idx="20">
                    <c:v>海南省</c:v>
                  </c:pt>
                  <c:pt idx="21">
                    <c:v>重庆市</c:v>
                  </c:pt>
                  <c:pt idx="22">
                    <c:v>四川省</c:v>
                  </c:pt>
                  <c:pt idx="23">
                    <c:v>贵州省</c:v>
                  </c:pt>
                  <c:pt idx="24">
                    <c:v>云南省</c:v>
                  </c:pt>
                  <c:pt idx="25">
                    <c:v>西藏自治区</c:v>
                  </c:pt>
                  <c:pt idx="26">
                    <c:v>陕西省</c:v>
                  </c:pt>
                  <c:pt idx="27">
                    <c:v>甘肃省</c:v>
                  </c:pt>
                  <c:pt idx="28">
                    <c:v>青海省</c:v>
                  </c:pt>
                  <c:pt idx="29">
                    <c:v>宁夏回族自治区</c:v>
                  </c:pt>
                  <c:pt idx="30">
                    <c:v>新疆维吾尔自治区</c:v>
                  </c:pt>
                </c15:dlblRangeCache>
              </c15:datalabelsRange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8010313"/>
        <c:axId val="145484525"/>
      </c:scatterChart>
      <c:valAx>
        <c:axId val="44801031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5484525"/>
        <c:crosses val="autoZero"/>
        <c:crossBetween val="midCat"/>
      </c:valAx>
      <c:valAx>
        <c:axId val="14548452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48010313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5236889-ae09-4d41-9089-edbff4c0fa3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cap="none" spc="0" normalizeH="0" baseline="0">
                <a:solidFill>
                  <a:schemeClr val="tx1"/>
                </a:solidFill>
                <a:uFill>
                  <a:solidFill>
                    <a:schemeClr val="tx1"/>
                  </a:solidFill>
                </a:uFill>
                <a:latin typeface="+mn-lt"/>
                <a:ea typeface="+mn-ea"/>
                <a:cs typeface="+mn-cs"/>
              </a:defRPr>
            </a:pPr>
            <a:r>
              <a:rPr u="none" strike="noStrike" cap="none" normalizeH="0">
                <a:solidFill>
                  <a:schemeClr val="tx1"/>
                </a:solidFill>
                <a:uFill>
                  <a:solidFill>
                    <a:schemeClr val="tx1"/>
                  </a:solidFill>
                </a:uFill>
              </a:rPr>
              <a:t>洛伦兹曲线</a:t>
            </a:r>
            <a:endParaRPr u="none" strike="noStrike" cap="none" normalizeH="0">
              <a:solidFill>
                <a:schemeClr val="tx1"/>
              </a:solidFill>
              <a:uFill>
                <a:solidFill>
                  <a:schemeClr val="tx1"/>
                </a:solidFill>
              </a:u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418804182679417"/>
          <c:y val="0.0827324432070257"/>
          <c:w val="0.922326886461569"/>
          <c:h val="0.792724014336918"/>
        </c:manualLayout>
      </c:layout>
      <c:scatterChart>
        <c:scatterStyle val="smooth"/>
        <c:varyColors val="0"/>
        <c:ser>
          <c:idx val="0"/>
          <c:order val="0"/>
          <c:tx>
            <c:strRef>
              <c:f>"数据"</c:f>
              <c:strCache>
                <c:ptCount val="1"/>
                <c:pt idx="0">
                  <c:v>数据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公平性!$E$2:$E$31</c:f>
              <c:numCache>
                <c:formatCode>General</c:formatCode>
                <c:ptCount val="30"/>
                <c:pt idx="0">
                  <c:v>6.976429152</c:v>
                </c:pt>
                <c:pt idx="1">
                  <c:v>10.295312923</c:v>
                </c:pt>
                <c:pt idx="2">
                  <c:v>15.555618931</c:v>
                </c:pt>
                <c:pt idx="3">
                  <c:v>18.765418016</c:v>
                </c:pt>
                <c:pt idx="4">
                  <c:v>23.130944403</c:v>
                </c:pt>
                <c:pt idx="5">
                  <c:v>26.705072082</c:v>
                </c:pt>
                <c:pt idx="6">
                  <c:v>29.457143265</c:v>
                </c:pt>
                <c:pt idx="7">
                  <c:v>34.119265925</c:v>
                </c:pt>
                <c:pt idx="8">
                  <c:v>43.231045645</c:v>
                </c:pt>
                <c:pt idx="9">
                  <c:v>50.417801481</c:v>
                </c:pt>
                <c:pt idx="10">
                  <c:v>56.381097692</c:v>
                </c:pt>
                <c:pt idx="11">
                  <c:v>57.128292148</c:v>
                </c:pt>
                <c:pt idx="12">
                  <c:v>63.207089792</c:v>
                </c:pt>
                <c:pt idx="13">
                  <c:v>65.663990646</c:v>
                </c:pt>
                <c:pt idx="14">
                  <c:v>66.183747095</c:v>
                </c:pt>
                <c:pt idx="15">
                  <c:v>70.939269062</c:v>
                </c:pt>
                <c:pt idx="16">
                  <c:v>75.098746596</c:v>
                </c:pt>
                <c:pt idx="17">
                  <c:v>78.088237392</c:v>
                </c:pt>
                <c:pt idx="18">
                  <c:v>80.247829002</c:v>
                </c:pt>
                <c:pt idx="19">
                  <c:v>80.670621285</c:v>
                </c:pt>
                <c:pt idx="20">
                  <c:v>82.373197965</c:v>
                </c:pt>
                <c:pt idx="21">
                  <c:v>84.647578036</c:v>
                </c:pt>
                <c:pt idx="22">
                  <c:v>87.465955597</c:v>
                </c:pt>
                <c:pt idx="23">
                  <c:v>89.218440304</c:v>
                </c:pt>
                <c:pt idx="24">
                  <c:v>92.180838171</c:v>
                </c:pt>
                <c:pt idx="25">
                  <c:v>94.050963226</c:v>
                </c:pt>
                <c:pt idx="26">
                  <c:v>95.819133313</c:v>
                </c:pt>
                <c:pt idx="27">
                  <c:v>96.791626861</c:v>
                </c:pt>
                <c:pt idx="28">
                  <c:v>98.443582543</c:v>
                </c:pt>
                <c:pt idx="29">
                  <c:v>100.000000002</c:v>
                </c:pt>
              </c:numCache>
            </c:numRef>
          </c:xVal>
          <c:yVal>
            <c:numRef>
              <c:f>公平性!$F$2:$F$31</c:f>
              <c:numCache>
                <c:formatCode>General</c:formatCode>
                <c:ptCount val="30"/>
                <c:pt idx="0">
                  <c:v>1.367545467</c:v>
                </c:pt>
                <c:pt idx="1">
                  <c:v>2.988862258</c:v>
                </c:pt>
                <c:pt idx="2">
                  <c:v>4.624277456</c:v>
                </c:pt>
                <c:pt idx="3">
                  <c:v>6.569857605</c:v>
                </c:pt>
                <c:pt idx="4">
                  <c:v>8.529536161</c:v>
                </c:pt>
                <c:pt idx="5">
                  <c:v>10.489214717</c:v>
                </c:pt>
                <c:pt idx="6">
                  <c:v>12.64627097</c:v>
                </c:pt>
                <c:pt idx="7">
                  <c:v>15.028901733</c:v>
                </c:pt>
                <c:pt idx="8">
                  <c:v>17.411532496</c:v>
                </c:pt>
                <c:pt idx="9">
                  <c:v>19.8787537</c:v>
                </c:pt>
                <c:pt idx="10">
                  <c:v>22.374171718</c:v>
                </c:pt>
                <c:pt idx="11">
                  <c:v>24.982376991</c:v>
                </c:pt>
                <c:pt idx="12">
                  <c:v>27.632877484</c:v>
                </c:pt>
                <c:pt idx="13">
                  <c:v>30.311574791</c:v>
                </c:pt>
                <c:pt idx="14">
                  <c:v>33.187649795</c:v>
                </c:pt>
                <c:pt idx="15">
                  <c:v>36.37388975</c:v>
                </c:pt>
                <c:pt idx="16">
                  <c:v>39.588326519</c:v>
                </c:pt>
                <c:pt idx="17">
                  <c:v>42.873255322</c:v>
                </c:pt>
                <c:pt idx="18">
                  <c:v>46.341463414</c:v>
                </c:pt>
                <c:pt idx="19">
                  <c:v>50.035246017</c:v>
                </c:pt>
                <c:pt idx="20">
                  <c:v>53.757225433</c:v>
                </c:pt>
                <c:pt idx="21">
                  <c:v>57.535598477</c:v>
                </c:pt>
                <c:pt idx="22">
                  <c:v>61.708726913</c:v>
                </c:pt>
                <c:pt idx="23">
                  <c:v>65.881855349</c:v>
                </c:pt>
                <c:pt idx="24">
                  <c:v>70.252361482</c:v>
                </c:pt>
                <c:pt idx="25">
                  <c:v>74.918934159</c:v>
                </c:pt>
                <c:pt idx="26">
                  <c:v>80.036655856</c:v>
                </c:pt>
                <c:pt idx="27">
                  <c:v>85.549132946</c:v>
                </c:pt>
                <c:pt idx="28">
                  <c:v>92.17538418</c:v>
                </c:pt>
                <c:pt idx="29">
                  <c:v>99.999999998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"绝对公平线"</c:f>
              <c:strCache>
                <c:ptCount val="1"/>
                <c:pt idx="0">
                  <c:v>绝对公平线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(公平性!$E$31,公平性!$E$32)</c:f>
              <c:numCache>
                <c:formatCode>General</c:formatCode>
                <c:ptCount val="2"/>
                <c:pt idx="0">
                  <c:v>100.000000002</c:v>
                </c:pt>
                <c:pt idx="1">
                  <c:v>0</c:v>
                </c:pt>
              </c:numCache>
            </c:numRef>
          </c:xVal>
          <c:yVal>
            <c:numRef>
              <c:f>(公平性!$F$31,公平性!$F$32)</c:f>
              <c:numCache>
                <c:formatCode>General</c:formatCode>
                <c:ptCount val="2"/>
                <c:pt idx="0">
                  <c:v>99.999999998</c:v>
                </c:pt>
                <c:pt idx="1">
                  <c:v>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5762270"/>
        <c:axId val="268226997"/>
      </c:scatterChart>
      <c:valAx>
        <c:axId val="78576227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cap="none" spc="0" normalizeH="0" baseline="0">
                <a:solidFill>
                  <a:schemeClr val="tx1"/>
                </a:solidFill>
                <a:uFill>
                  <a:solidFill>
                    <a:schemeClr val="tx1"/>
                  </a:solidFill>
                </a:uFill>
                <a:latin typeface="+mn-lt"/>
                <a:ea typeface="+mn-ea"/>
                <a:cs typeface="+mn-cs"/>
              </a:defRPr>
            </a:pPr>
          </a:p>
        </c:txPr>
        <c:crossAx val="268226997"/>
        <c:crosses val="autoZero"/>
        <c:crossBetween val="midCat"/>
      </c:valAx>
      <c:valAx>
        <c:axId val="268226997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cap="none" spc="0" normalizeH="0" baseline="0">
                <a:solidFill>
                  <a:schemeClr val="tx1"/>
                </a:solidFill>
                <a:uFill>
                  <a:solidFill>
                    <a:schemeClr val="tx1"/>
                  </a:solidFill>
                </a:uFill>
                <a:latin typeface="+mn-lt"/>
                <a:ea typeface="+mn-ea"/>
                <a:cs typeface="+mn-cs"/>
              </a:defRPr>
            </a:pPr>
          </a:p>
        </c:txPr>
        <c:crossAx val="785762270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0" i="0" u="none" strike="noStrike" kern="1200" cap="none" spc="0" normalizeH="0" baseline="0">
                <a:solidFill>
                  <a:schemeClr val="tx1"/>
                </a:solidFill>
                <a:uFill>
                  <a:solidFill>
                    <a:schemeClr val="tx1"/>
                  </a:solidFill>
                </a:u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0" i="0" u="none" strike="noStrike" kern="1200" cap="none" spc="0" normalizeH="0" baseline="0">
                <a:solidFill>
                  <a:schemeClr val="tx1"/>
                </a:solidFill>
                <a:uFill>
                  <a:solidFill>
                    <a:schemeClr val="tx1"/>
                  </a:solidFill>
                </a:u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cap="none" spc="0" normalizeH="0" baseline="0">
              <a:solidFill>
                <a:schemeClr val="tx1"/>
              </a:solidFill>
              <a:uFill>
                <a:solidFill>
                  <a:schemeClr val="tx1"/>
                </a:solidFill>
              </a:u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582a698-27c6-47ff-b766-a8c9869a751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 u="none" strike="noStrike" kern="1200" cap="none" spc="0" normalizeH="0">
          <a:solidFill>
            <a:schemeClr val="tx1"/>
          </a:solidFill>
          <a:uFill>
            <a:solidFill>
              <a:schemeClr val="tx1"/>
            </a:solidFill>
          </a:uFill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7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19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440055</xdr:colOff>
      <xdr:row>1</xdr:row>
      <xdr:rowOff>108585</xdr:rowOff>
    </xdr:from>
    <xdr:to>
      <xdr:col>19</xdr:col>
      <xdr:colOff>175895</xdr:colOff>
      <xdr:row>16</xdr:row>
      <xdr:rowOff>264160</xdr:rowOff>
    </xdr:to>
    <xdr:graphicFrame>
      <xdr:nvGraphicFramePr>
        <xdr:cNvPr id="3" name="图表 2" descr="7b0a202020202263686172745265734964223a20223230343736343339220a7d0a"/>
        <xdr:cNvGraphicFramePr/>
      </xdr:nvGraphicFramePr>
      <xdr:xfrm>
        <a:off x="4878705" y="286385"/>
        <a:ext cx="7660640" cy="51085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414655</xdr:colOff>
      <xdr:row>17</xdr:row>
      <xdr:rowOff>129540</xdr:rowOff>
    </xdr:from>
    <xdr:to>
      <xdr:col>20</xdr:col>
      <xdr:colOff>246380</xdr:colOff>
      <xdr:row>40</xdr:row>
      <xdr:rowOff>8890</xdr:rowOff>
    </xdr:to>
    <xdr:graphicFrame>
      <xdr:nvGraphicFramePr>
        <xdr:cNvPr id="4" name="图表 3"/>
        <xdr:cNvGraphicFramePr/>
      </xdr:nvGraphicFramePr>
      <xdr:xfrm>
        <a:off x="4853305" y="5590540"/>
        <a:ext cx="8366125" cy="6102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158750</xdr:colOff>
      <xdr:row>2</xdr:row>
      <xdr:rowOff>133350</xdr:rowOff>
    </xdr:from>
    <xdr:to>
      <xdr:col>16</xdr:col>
      <xdr:colOff>596265</xdr:colOff>
      <xdr:row>27</xdr:row>
      <xdr:rowOff>43815</xdr:rowOff>
    </xdr:to>
    <xdr:graphicFrame>
      <xdr:nvGraphicFramePr>
        <xdr:cNvPr id="2" name="图表 1"/>
        <xdr:cNvGraphicFramePr/>
      </xdr:nvGraphicFramePr>
      <xdr:xfrm>
        <a:off x="4806950" y="488950"/>
        <a:ext cx="7105015" cy="43554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3"/>
  <sheetViews>
    <sheetView tabSelected="1" workbookViewId="0">
      <selection activeCell="I20" sqref="I20"/>
    </sheetView>
  </sheetViews>
  <sheetFormatPr defaultColWidth="9" defaultRowHeight="14"/>
  <sheetData>
    <row r="1" spans="1:9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/>
    </row>
    <row r="2" ht="16.5" spans="1:9">
      <c r="A2" s="16" t="s">
        <v>8</v>
      </c>
      <c r="B2" s="18">
        <v>49843.1</v>
      </c>
      <c r="C2" s="18">
        <v>2183</v>
      </c>
      <c r="D2" s="18">
        <v>1247.15</v>
      </c>
      <c r="E2" s="18">
        <v>6.09</v>
      </c>
      <c r="F2" s="19">
        <v>0.0555</v>
      </c>
      <c r="G2" s="19">
        <v>0.1596</v>
      </c>
      <c r="H2" s="19">
        <v>0.1864</v>
      </c>
      <c r="I2" s="17"/>
    </row>
    <row r="3" ht="16.5" spans="1:9">
      <c r="A3" s="16" t="s">
        <v>9</v>
      </c>
      <c r="B3" s="18">
        <v>18024.3</v>
      </c>
      <c r="C3" s="18">
        <v>1364</v>
      </c>
      <c r="D3" s="18">
        <v>500.02</v>
      </c>
      <c r="E3" s="18">
        <v>4.99</v>
      </c>
      <c r="F3" s="19">
        <v>0.0391</v>
      </c>
      <c r="G3" s="19">
        <v>0.092</v>
      </c>
      <c r="H3" s="19">
        <v>0.1178</v>
      </c>
      <c r="I3" s="17"/>
    </row>
    <row r="4" ht="16.5" spans="1:9">
      <c r="A4" s="16" t="s">
        <v>10</v>
      </c>
      <c r="B4" s="18">
        <v>47526.9</v>
      </c>
      <c r="C4" s="18">
        <v>7378</v>
      </c>
      <c r="D4" s="18">
        <v>1828.84</v>
      </c>
      <c r="E4" s="18">
        <v>5.9</v>
      </c>
      <c r="F4" s="20">
        <v>0.0116</v>
      </c>
      <c r="G4" s="20">
        <v>0.0372</v>
      </c>
      <c r="H4" s="20">
        <v>0.0409</v>
      </c>
      <c r="I4" s="17"/>
    </row>
    <row r="5" ht="16.5" spans="1:9">
      <c r="A5" s="16" t="s">
        <v>11</v>
      </c>
      <c r="B5" s="18">
        <v>25494.7</v>
      </c>
      <c r="C5" s="18">
        <v>3446</v>
      </c>
      <c r="D5" s="18">
        <v>922.1</v>
      </c>
      <c r="E5" s="18">
        <v>6.94</v>
      </c>
      <c r="F5" s="19">
        <v>0.019</v>
      </c>
      <c r="G5" s="19">
        <v>0.0631</v>
      </c>
      <c r="H5" s="19">
        <v>0.0786</v>
      </c>
      <c r="I5" s="17"/>
    </row>
    <row r="6" ht="16.5" spans="1:9">
      <c r="A6" s="16" t="s">
        <v>12</v>
      </c>
      <c r="B6" s="18">
        <v>26314.6</v>
      </c>
      <c r="C6" s="18">
        <v>2388</v>
      </c>
      <c r="D6" s="18">
        <v>783.65</v>
      </c>
      <c r="E6" s="18">
        <v>5.52</v>
      </c>
      <c r="F6" s="19">
        <v>0.0264</v>
      </c>
      <c r="G6" s="19">
        <v>0.0881</v>
      </c>
      <c r="H6" s="19">
        <v>0.0954</v>
      </c>
      <c r="I6" s="17"/>
    </row>
    <row r="7" ht="16.5" spans="1:9">
      <c r="A7" s="16" t="s">
        <v>13</v>
      </c>
      <c r="B7" s="18">
        <v>32612.7</v>
      </c>
      <c r="C7" s="18">
        <v>4155</v>
      </c>
      <c r="D7" s="18">
        <v>740.91</v>
      </c>
      <c r="E7" s="18">
        <v>4.32</v>
      </c>
      <c r="F7" s="19">
        <v>0.031</v>
      </c>
      <c r="G7" s="19">
        <v>0.0796</v>
      </c>
      <c r="H7" s="19">
        <v>0.0834</v>
      </c>
      <c r="I7" s="17"/>
    </row>
    <row r="8" ht="16.5" spans="1:9">
      <c r="A8" s="16" t="s">
        <v>14</v>
      </c>
      <c r="B8" s="18">
        <v>14361.2</v>
      </c>
      <c r="C8" s="18">
        <v>2317</v>
      </c>
      <c r="D8" s="18">
        <v>539.37</v>
      </c>
      <c r="E8" s="18">
        <v>4.17</v>
      </c>
      <c r="F8" s="20">
        <v>0.047</v>
      </c>
      <c r="G8" s="20">
        <v>0.123</v>
      </c>
      <c r="H8" s="20">
        <v>0.1278</v>
      </c>
      <c r="I8" s="17"/>
    </row>
    <row r="9" ht="16.5" spans="1:9">
      <c r="A9" s="16" t="s">
        <v>15</v>
      </c>
      <c r="B9" s="18">
        <v>16476.9</v>
      </c>
      <c r="C9" s="18">
        <v>3029</v>
      </c>
      <c r="D9" s="18">
        <v>616.1</v>
      </c>
      <c r="E9" s="18">
        <v>3.35</v>
      </c>
      <c r="F9" s="19">
        <v>0.0246</v>
      </c>
      <c r="G9" s="19">
        <v>0.0818</v>
      </c>
      <c r="H9" s="19">
        <v>0.0869</v>
      </c>
      <c r="I9" s="17"/>
    </row>
    <row r="10" ht="16.5" spans="1:9">
      <c r="A10" s="16" t="s">
        <v>16</v>
      </c>
      <c r="B10" s="18">
        <v>53926.7</v>
      </c>
      <c r="C10" s="18">
        <v>2480</v>
      </c>
      <c r="D10" s="18">
        <v>1233.85</v>
      </c>
      <c r="E10" s="18">
        <v>4.75</v>
      </c>
      <c r="F10" s="20">
        <v>0.0363</v>
      </c>
      <c r="G10" s="20">
        <v>0.1218</v>
      </c>
      <c r="H10" s="20">
        <v>0.1632</v>
      </c>
      <c r="I10" s="17"/>
    </row>
    <row r="11" ht="16.5" spans="1:9">
      <c r="A11" s="16" t="s">
        <v>17</v>
      </c>
      <c r="B11" s="18">
        <v>137008</v>
      </c>
      <c r="C11" s="18">
        <v>8526</v>
      </c>
      <c r="D11" s="18">
        <v>2757.9</v>
      </c>
      <c r="E11" s="18">
        <v>4.98</v>
      </c>
      <c r="F11" s="19">
        <v>0.0188</v>
      </c>
      <c r="G11" s="19">
        <v>0.0679</v>
      </c>
      <c r="H11" s="19">
        <v>0.1121</v>
      </c>
      <c r="I11" s="17"/>
    </row>
    <row r="12" ht="16.5" spans="1:9">
      <c r="A12" s="16" t="s">
        <v>18</v>
      </c>
      <c r="B12" s="18">
        <v>90130.6</v>
      </c>
      <c r="C12" s="18">
        <v>6670</v>
      </c>
      <c r="D12" s="18">
        <v>2474.82</v>
      </c>
      <c r="E12" s="18">
        <v>6.17</v>
      </c>
      <c r="F12" s="20">
        <v>0.0226</v>
      </c>
      <c r="G12" s="20">
        <v>0.0512</v>
      </c>
      <c r="H12" s="20">
        <v>0.0661</v>
      </c>
      <c r="I12" s="17"/>
    </row>
    <row r="13" ht="16.5" spans="1:9">
      <c r="A13" s="16" t="s">
        <v>19</v>
      </c>
      <c r="B13" s="18">
        <v>50625.2</v>
      </c>
      <c r="C13" s="18">
        <v>6123</v>
      </c>
      <c r="D13" s="18">
        <v>1558.68</v>
      </c>
      <c r="E13" s="18">
        <v>6.17</v>
      </c>
      <c r="F13" s="19">
        <v>0.0139</v>
      </c>
      <c r="G13" s="19">
        <v>0.0543</v>
      </c>
      <c r="H13" s="19">
        <v>0.06</v>
      </c>
      <c r="I13" s="17"/>
    </row>
    <row r="14" ht="16.5" spans="1:9">
      <c r="A14" s="16" t="s">
        <v>20</v>
      </c>
      <c r="B14" s="18">
        <v>57761</v>
      </c>
      <c r="C14" s="18">
        <v>4193</v>
      </c>
      <c r="D14" s="18">
        <v>1287.43</v>
      </c>
      <c r="E14" s="18">
        <v>6.95</v>
      </c>
      <c r="F14" s="20">
        <v>0.0233</v>
      </c>
      <c r="G14" s="20">
        <v>0.0614</v>
      </c>
      <c r="H14" s="20">
        <v>0.0661</v>
      </c>
      <c r="I14" s="17"/>
    </row>
    <row r="15" ht="16.5" spans="1:9">
      <c r="A15" s="16" t="s">
        <v>21</v>
      </c>
      <c r="B15" s="18">
        <v>34202.5</v>
      </c>
      <c r="C15" s="18">
        <v>4502</v>
      </c>
      <c r="D15" s="18">
        <v>1393.43</v>
      </c>
      <c r="E15" s="18">
        <v>6.65</v>
      </c>
      <c r="F15" s="20">
        <v>0.0138</v>
      </c>
      <c r="G15" s="20">
        <v>0.0409</v>
      </c>
      <c r="H15" s="20">
        <v>0.0442</v>
      </c>
      <c r="I15" s="17"/>
    </row>
    <row r="16" ht="16.5" spans="1:9">
      <c r="A16" s="16" t="s">
        <v>22</v>
      </c>
      <c r="B16" s="18">
        <v>98565.8</v>
      </c>
      <c r="C16" s="18">
        <v>10080</v>
      </c>
      <c r="D16" s="18">
        <v>2748.74</v>
      </c>
      <c r="E16" s="18">
        <v>6.42</v>
      </c>
      <c r="F16" s="20">
        <v>0.0175</v>
      </c>
      <c r="G16" s="20">
        <v>0.039</v>
      </c>
      <c r="H16" s="20">
        <v>0.0423</v>
      </c>
      <c r="I16" s="17"/>
    </row>
    <row r="17" ht="16.5" spans="1:9">
      <c r="A17" s="16" t="s">
        <v>23</v>
      </c>
      <c r="B17" s="18">
        <v>63590</v>
      </c>
      <c r="C17" s="18">
        <v>9785</v>
      </c>
      <c r="D17" s="18">
        <v>2059.66</v>
      </c>
      <c r="E17" s="18">
        <v>7.78</v>
      </c>
      <c r="F17" s="19">
        <v>0.0097</v>
      </c>
      <c r="G17" s="19">
        <v>0.0289</v>
      </c>
      <c r="H17" s="19">
        <v>0.0366</v>
      </c>
      <c r="I17" s="17"/>
    </row>
    <row r="18" ht="16.5" spans="1:9">
      <c r="A18" s="16" t="s">
        <v>24</v>
      </c>
      <c r="B18" s="18">
        <v>60013</v>
      </c>
      <c r="C18" s="18">
        <v>5834</v>
      </c>
      <c r="D18" s="18">
        <v>1390.05</v>
      </c>
      <c r="E18" s="18">
        <v>5.38</v>
      </c>
      <c r="F18" s="20">
        <v>0.0228</v>
      </c>
      <c r="G18" s="20">
        <v>0.0589</v>
      </c>
      <c r="H18" s="20">
        <v>0.0625</v>
      </c>
      <c r="I18" s="17"/>
    </row>
    <row r="19" ht="16.5" spans="1:9">
      <c r="A19" s="16" t="s">
        <v>25</v>
      </c>
      <c r="B19" s="18">
        <v>53231</v>
      </c>
      <c r="C19" s="18">
        <v>6539</v>
      </c>
      <c r="D19" s="18">
        <v>1601.41</v>
      </c>
      <c r="E19" s="18">
        <v>5.89</v>
      </c>
      <c r="F19" s="20">
        <v>0.0169</v>
      </c>
      <c r="G19" s="20">
        <v>0.0448</v>
      </c>
      <c r="H19" s="20">
        <v>0.0588</v>
      </c>
      <c r="I19" s="17"/>
    </row>
    <row r="20" ht="16.5" spans="1:9">
      <c r="A20" s="16" t="s">
        <v>26</v>
      </c>
      <c r="B20" s="18">
        <v>141633.8</v>
      </c>
      <c r="C20" s="18">
        <v>12780</v>
      </c>
      <c r="D20" s="18">
        <v>4055.57</v>
      </c>
      <c r="E20" s="18">
        <v>8.89</v>
      </c>
      <c r="F20" s="20">
        <v>0.0169</v>
      </c>
      <c r="G20" s="20">
        <v>0.0364</v>
      </c>
      <c r="H20" s="20">
        <v>0.0525</v>
      </c>
      <c r="I20" s="17"/>
    </row>
    <row r="21" ht="16.5" spans="1:9">
      <c r="A21" s="16" t="s">
        <v>27</v>
      </c>
      <c r="B21" s="18">
        <v>28649.4</v>
      </c>
      <c r="C21" s="18">
        <v>5013</v>
      </c>
      <c r="D21" s="18">
        <v>1226.35</v>
      </c>
      <c r="E21" s="18">
        <v>8.37</v>
      </c>
      <c r="F21" s="19">
        <v>0.0139</v>
      </c>
      <c r="G21" s="19">
        <v>0.0418</v>
      </c>
      <c r="H21" s="19">
        <v>0.0466</v>
      </c>
      <c r="I21" s="17"/>
    </row>
    <row r="22" ht="16.5" spans="1:9">
      <c r="A22" s="16" t="s">
        <v>28</v>
      </c>
      <c r="B22" s="18">
        <v>7935.7</v>
      </c>
      <c r="C22" s="18">
        <v>1048</v>
      </c>
      <c r="D22" s="18">
        <v>362.4</v>
      </c>
      <c r="E22" s="18">
        <v>9.37</v>
      </c>
      <c r="F22" s="20">
        <v>0.0185</v>
      </c>
      <c r="G22" s="20">
        <v>0.0825</v>
      </c>
      <c r="H22" s="20">
        <v>0.0933</v>
      </c>
      <c r="I22" s="17"/>
    </row>
    <row r="23" ht="16.5" spans="1:9">
      <c r="A23" s="16" t="s">
        <v>29</v>
      </c>
      <c r="B23" s="18">
        <v>32193.2</v>
      </c>
      <c r="C23" s="18">
        <v>3190</v>
      </c>
      <c r="D23" s="18">
        <v>858.62</v>
      </c>
      <c r="E23" s="18">
        <v>5.99</v>
      </c>
      <c r="F23" s="20">
        <v>0.0268</v>
      </c>
      <c r="G23" s="20">
        <v>0.0677</v>
      </c>
      <c r="H23" s="20">
        <v>0.0748</v>
      </c>
      <c r="I23" s="17"/>
    </row>
    <row r="24" ht="16.5" spans="1:9">
      <c r="A24" s="16" t="s">
        <v>30</v>
      </c>
      <c r="B24" s="18">
        <v>64697</v>
      </c>
      <c r="C24" s="18">
        <v>8364</v>
      </c>
      <c r="D24" s="18">
        <v>1969.68</v>
      </c>
      <c r="E24" s="18">
        <v>6.41</v>
      </c>
      <c r="F24" s="19">
        <v>0.0177</v>
      </c>
      <c r="G24" s="19">
        <v>0.0485</v>
      </c>
      <c r="H24" s="19">
        <v>0.0741</v>
      </c>
      <c r="I24" s="17"/>
    </row>
    <row r="25" ht="16.5" spans="1:9">
      <c r="A25" s="16" t="s">
        <v>31</v>
      </c>
      <c r="B25" s="18">
        <v>22667.1</v>
      </c>
      <c r="C25" s="18">
        <v>3860</v>
      </c>
      <c r="D25" s="18">
        <v>1209.83</v>
      </c>
      <c r="E25" s="18">
        <v>10.74</v>
      </c>
      <c r="F25" s="19">
        <v>0.0153</v>
      </c>
      <c r="G25" s="19">
        <v>0.0605</v>
      </c>
      <c r="H25" s="19">
        <v>0.0682</v>
      </c>
      <c r="I25" s="17"/>
    </row>
    <row r="26" ht="16.5" spans="1:9">
      <c r="A26" s="16" t="s">
        <v>32</v>
      </c>
      <c r="B26" s="18">
        <v>31534.1</v>
      </c>
      <c r="C26" s="18">
        <v>4655</v>
      </c>
      <c r="D26" s="18">
        <v>1197.62</v>
      </c>
      <c r="E26" s="18">
        <v>8.62</v>
      </c>
      <c r="F26" s="19">
        <v>0.0115</v>
      </c>
      <c r="G26" s="19">
        <v>0.0373</v>
      </c>
      <c r="H26" s="19">
        <v>0.0427</v>
      </c>
      <c r="I26" s="17"/>
    </row>
    <row r="27" ht="16.5" spans="1:9">
      <c r="A27" s="16" t="s">
        <v>33</v>
      </c>
      <c r="B27" s="18">
        <v>2764.9</v>
      </c>
      <c r="C27" s="18">
        <v>370</v>
      </c>
      <c r="D27" s="18">
        <v>333.63</v>
      </c>
      <c r="E27" s="18">
        <v>13.87</v>
      </c>
      <c r="F27" s="21" t="s">
        <v>34</v>
      </c>
      <c r="G27" s="21" t="s">
        <v>34</v>
      </c>
      <c r="H27" s="21" t="s">
        <v>34</v>
      </c>
      <c r="I27" s="17"/>
    </row>
    <row r="28" ht="16.5" spans="1:9">
      <c r="A28" s="16" t="s">
        <v>35</v>
      </c>
      <c r="B28" s="18">
        <v>35538.8</v>
      </c>
      <c r="C28" s="18">
        <v>3953</v>
      </c>
      <c r="D28" s="18">
        <v>1119.54</v>
      </c>
      <c r="E28" s="18">
        <v>7.36</v>
      </c>
      <c r="F28" s="19">
        <v>0.0296</v>
      </c>
      <c r="G28" s="19">
        <v>0.0767</v>
      </c>
      <c r="H28" s="19">
        <v>0.082</v>
      </c>
      <c r="I28" s="17"/>
    </row>
    <row r="29" ht="16.5" spans="1:9">
      <c r="A29" s="16" t="s">
        <v>36</v>
      </c>
      <c r="B29" s="18">
        <v>13002.9</v>
      </c>
      <c r="C29" s="18">
        <v>2458</v>
      </c>
      <c r="D29" s="18">
        <v>723.88</v>
      </c>
      <c r="E29" s="18">
        <v>8</v>
      </c>
      <c r="F29" s="19">
        <v>0.0296</v>
      </c>
      <c r="G29" s="19">
        <v>0.0686</v>
      </c>
      <c r="H29" s="19">
        <v>0.076</v>
      </c>
      <c r="I29" s="17"/>
    </row>
    <row r="30" ht="16.5" spans="1:9">
      <c r="A30" s="16" t="s">
        <v>37</v>
      </c>
      <c r="B30" s="18">
        <v>3950.8</v>
      </c>
      <c r="C30" s="18">
        <v>593</v>
      </c>
      <c r="D30" s="18">
        <v>232.08</v>
      </c>
      <c r="E30" s="18">
        <v>10.11</v>
      </c>
      <c r="F30" s="20">
        <v>0.0262</v>
      </c>
      <c r="G30" s="20">
        <v>0.1023</v>
      </c>
      <c r="H30" s="20">
        <v>0.1095</v>
      </c>
      <c r="I30" s="17"/>
    </row>
    <row r="31" ht="16.5" spans="1:9">
      <c r="A31" s="16" t="s">
        <v>38</v>
      </c>
      <c r="B31" s="18">
        <v>5502.8</v>
      </c>
      <c r="C31" s="18">
        <v>729</v>
      </c>
      <c r="D31" s="18">
        <v>225.39</v>
      </c>
      <c r="E31" s="18">
        <v>10.97</v>
      </c>
      <c r="F31" s="20">
        <v>0.0204</v>
      </c>
      <c r="G31" s="20">
        <v>0.0785</v>
      </c>
      <c r="H31" s="20">
        <v>0.0838</v>
      </c>
      <c r="I31" s="17"/>
    </row>
    <row r="32" ht="16.5" spans="1:9">
      <c r="A32" s="16" t="s">
        <v>39</v>
      </c>
      <c r="B32" s="18">
        <v>20534.1</v>
      </c>
      <c r="C32" s="18">
        <v>2623</v>
      </c>
      <c r="D32" s="18">
        <v>1215.82</v>
      </c>
      <c r="E32" s="18">
        <v>9.42</v>
      </c>
      <c r="F32" s="20">
        <v>0.0331</v>
      </c>
      <c r="G32" s="20">
        <v>0.1238</v>
      </c>
      <c r="H32" s="20">
        <v>0.1365</v>
      </c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6"/>
  <sheetViews>
    <sheetView workbookViewId="0">
      <selection activeCell="B1" sqref="B1:B32"/>
    </sheetView>
  </sheetViews>
  <sheetFormatPr defaultColWidth="9" defaultRowHeight="14" outlineLevelCol="7"/>
  <cols>
    <col min="2" max="7" width="12.8181818181818"/>
  </cols>
  <sheetData>
    <row r="1" spans="1:8">
      <c r="A1" s="2" t="s">
        <v>0</v>
      </c>
      <c r="B1" s="2" t="s">
        <v>40</v>
      </c>
      <c r="C1" s="2" t="s">
        <v>41</v>
      </c>
      <c r="D1" s="2" t="s">
        <v>42</v>
      </c>
      <c r="E1" s="2" t="s">
        <v>43</v>
      </c>
      <c r="F1" s="2" t="s">
        <v>44</v>
      </c>
      <c r="G1" s="2" t="s">
        <v>45</v>
      </c>
      <c r="H1" s="3" t="s">
        <v>46</v>
      </c>
    </row>
    <row r="2" spans="1:8">
      <c r="A2" s="16" t="s">
        <v>8</v>
      </c>
      <c r="B2" s="1">
        <f>IFERROR(数据!B2/数据!C2*10000,"")</f>
        <v>228323.86623912</v>
      </c>
      <c r="C2">
        <f>IFERROR(数据!D2/数据!B2*100,"")</f>
        <v>2.5021517521984</v>
      </c>
      <c r="D2">
        <f>IFERROR(数据!D2/数据!C2*10000,"")</f>
        <v>5713.00961978928</v>
      </c>
      <c r="E2">
        <f>IFERROR(数据!C2*数据!E2/(数据!F2*1000),"")</f>
        <v>239.54</v>
      </c>
      <c r="F2">
        <f>IFERROR(数据!F2/C2,"")</f>
        <v>0.0221809088722287</v>
      </c>
      <c r="G2">
        <f>IFERROR(数据!F2/AVERAGE(数据!$F$2:$F$32),"")</f>
        <v>2.34738474552376</v>
      </c>
      <c r="H2">
        <f>IF(数据!F2="","",RANK(数据!F2,数据!$F$2:$F$32,0))</f>
        <v>1</v>
      </c>
    </row>
    <row r="3" spans="1:8">
      <c r="A3" s="16" t="s">
        <v>9</v>
      </c>
      <c r="B3" s="1">
        <f>IFERROR(数据!B3/数据!C3*10000,"")</f>
        <v>132142.961876833</v>
      </c>
      <c r="C3">
        <f>IFERROR(数据!D3/数据!B3*100,"")</f>
        <v>2.77414379476595</v>
      </c>
      <c r="D3">
        <f>IFERROR(数据!D3/数据!C3*10000,"")</f>
        <v>3665.8357771261</v>
      </c>
      <c r="E3">
        <f>IFERROR(数据!C3*数据!E3/(数据!F3*1000),"")</f>
        <v>174.075703324808</v>
      </c>
      <c r="F3">
        <f>IFERROR(数据!F3/C3,"")</f>
        <v>0.0140944388224471</v>
      </c>
      <c r="G3">
        <f>IFERROR(数据!F3/AVERAGE(数据!$F$2:$F$32),"")</f>
        <v>1.65374312702665</v>
      </c>
      <c r="H3">
        <f>IF(数据!F3="","",RANK(数据!F3,数据!$F$2:$F$32,0))</f>
        <v>3</v>
      </c>
    </row>
    <row r="4" spans="1:8">
      <c r="A4" s="16" t="s">
        <v>10</v>
      </c>
      <c r="B4" s="1">
        <f>IFERROR(数据!B4/数据!C4*10000,"")</f>
        <v>64417.0506912442</v>
      </c>
      <c r="C4">
        <f>IFERROR(数据!D4/数据!B4*100,"")</f>
        <v>3.84801028470193</v>
      </c>
      <c r="D4">
        <f>IFERROR(数据!D4/数据!C4*10000,"")</f>
        <v>2478.77473570073</v>
      </c>
      <c r="E4">
        <f>IFERROR(数据!C4*数据!E4/(数据!F4*1000),"")</f>
        <v>3752.60344827586</v>
      </c>
      <c r="F4">
        <f>IFERROR(数据!F4/C4,"")</f>
        <v>0.00301454495745937</v>
      </c>
      <c r="G4">
        <f>IFERROR(数据!F4/AVERAGE(数据!$F$2:$F$32),"")</f>
        <v>0.490624559424785</v>
      </c>
      <c r="H4">
        <f>IF(数据!F4="","",RANK(数据!F4,数据!$F$2:$F$32,0))</f>
        <v>28</v>
      </c>
    </row>
    <row r="5" spans="1:8">
      <c r="A5" s="16" t="s">
        <v>11</v>
      </c>
      <c r="B5" s="1">
        <f>IFERROR(数据!B5/数据!C5*10000,"")</f>
        <v>73983.4590829948</v>
      </c>
      <c r="C5">
        <f>IFERROR(数据!D5/数据!B5*100,"")</f>
        <v>3.6168301647009</v>
      </c>
      <c r="D5">
        <f>IFERROR(数据!D5/数据!C5*10000,"")</f>
        <v>2675.8560650029</v>
      </c>
      <c r="E5">
        <f>IFERROR(数据!C5*数据!E5/(数据!F5*1000),"")</f>
        <v>1258.69684210526</v>
      </c>
      <c r="F5">
        <f>IFERROR(数据!F5/C5,"")</f>
        <v>0.00525321873983299</v>
      </c>
      <c r="G5">
        <f>IFERROR(数据!F5/AVERAGE(数据!$F$2:$F$32),"")</f>
        <v>0.803609192161286</v>
      </c>
      <c r="H5">
        <f>IF(数据!F5="","",RANK(数据!F5,数据!$F$2:$F$32,0))</f>
        <v>17</v>
      </c>
    </row>
    <row r="6" spans="1:8">
      <c r="A6" s="16" t="s">
        <v>12</v>
      </c>
      <c r="B6" s="1">
        <f>IFERROR(数据!B6/数据!C6*10000,"")</f>
        <v>110195.142378559</v>
      </c>
      <c r="C6">
        <f>IFERROR(数据!D6/数据!B6*100,"")</f>
        <v>2.97800460580818</v>
      </c>
      <c r="D6">
        <f>IFERROR(数据!D6/数据!C6*10000,"")</f>
        <v>3281.61641541038</v>
      </c>
      <c r="E6">
        <f>IFERROR(数据!C6*数据!E6/(数据!F6*1000),"")</f>
        <v>499.309090909091</v>
      </c>
      <c r="F6">
        <f>IFERROR(数据!F6/C6,"")</f>
        <v>0.00886499636317233</v>
      </c>
      <c r="G6">
        <f>IFERROR(数据!F6/AVERAGE(数据!$F$2:$F$32),"")</f>
        <v>1.11659382489779</v>
      </c>
      <c r="H6">
        <f>IF(数据!F6="","",RANK(数据!F6,数据!$F$2:$F$32,0))</f>
        <v>10</v>
      </c>
    </row>
    <row r="7" spans="1:8">
      <c r="A7" s="16" t="s">
        <v>13</v>
      </c>
      <c r="B7" s="1">
        <f>IFERROR(数据!B7/数据!C7*10000,"")</f>
        <v>78490.2527075812</v>
      </c>
      <c r="C7">
        <f>IFERROR(数据!D7/数据!B7*100,"")</f>
        <v>2.27184501743186</v>
      </c>
      <c r="D7">
        <f>IFERROR(数据!D7/数据!C7*10000,"")</f>
        <v>1783.17689530686</v>
      </c>
      <c r="E7">
        <f>IFERROR(数据!C7*数据!E7/(数据!F7*1000),"")</f>
        <v>579.01935483871</v>
      </c>
      <c r="F7">
        <f>IFERROR(数据!F7/C7,"")</f>
        <v>0.0136452969996356</v>
      </c>
      <c r="G7">
        <f>IFERROR(数据!F7/AVERAGE(数据!$F$2:$F$32),"")</f>
        <v>1.3111518398421</v>
      </c>
      <c r="H7">
        <f>IF(数据!F7="","",RANK(数据!F7,数据!$F$2:$F$32,0))</f>
        <v>6</v>
      </c>
    </row>
    <row r="8" spans="1:8">
      <c r="A8" s="16" t="s">
        <v>14</v>
      </c>
      <c r="B8" s="1">
        <f>IFERROR(数据!B8/数据!C8*10000,"")</f>
        <v>61981.8731117825</v>
      </c>
      <c r="C8">
        <f>IFERROR(数据!D8/数据!B8*100,"")</f>
        <v>3.75574464529426</v>
      </c>
      <c r="D8">
        <f>IFERROR(数据!D8/数据!C8*10000,"")</f>
        <v>2327.88088044886</v>
      </c>
      <c r="E8">
        <f>IFERROR(数据!C8*数据!E8/(数据!F8*1000),"")</f>
        <v>205.572127659574</v>
      </c>
      <c r="F8">
        <f>IFERROR(数据!F8/C8,"")</f>
        <v>0.0125141628195858</v>
      </c>
      <c r="G8">
        <f>IFERROR(数据!F8/AVERAGE(数据!$F$2:$F$32),"")</f>
        <v>1.98787537008318</v>
      </c>
      <c r="H8">
        <f>IF(数据!F8="","",RANK(数据!F8,数据!$F$2:$F$32,0))</f>
        <v>2</v>
      </c>
    </row>
    <row r="9" spans="1:8">
      <c r="A9" s="16" t="s">
        <v>15</v>
      </c>
      <c r="B9" s="1">
        <f>IFERROR(数据!B9/数据!C9*10000,"")</f>
        <v>54397.160779135</v>
      </c>
      <c r="C9">
        <f>IFERROR(数据!D9/数据!B9*100,"")</f>
        <v>3.73917423787241</v>
      </c>
      <c r="D9">
        <f>IFERROR(数据!D9/数据!C9*10000,"")</f>
        <v>2034.00462198745</v>
      </c>
      <c r="E9">
        <f>IFERROR(数据!C9*数据!E9/(数据!F9*1000),"")</f>
        <v>412.485772357724</v>
      </c>
      <c r="F9">
        <f>IFERROR(数据!F9/C9,"")</f>
        <v>0.00657899269599091</v>
      </c>
      <c r="G9">
        <f>IFERROR(数据!F9/AVERAGE(数据!$F$2:$F$32),"")</f>
        <v>1.04046242774566</v>
      </c>
      <c r="H9">
        <f>IF(数据!F9="","",RANK(数据!F9,数据!$F$2:$F$32,0))</f>
        <v>12</v>
      </c>
    </row>
    <row r="10" spans="1:8">
      <c r="A10" s="16" t="s">
        <v>16</v>
      </c>
      <c r="B10" s="1">
        <f>IFERROR(数据!B10/数据!C10*10000,"")</f>
        <v>217446.370967742</v>
      </c>
      <c r="C10">
        <f>IFERROR(数据!D10/数据!B10*100,"")</f>
        <v>2.28801317343728</v>
      </c>
      <c r="D10">
        <f>IFERROR(数据!D10/数据!C10*10000,"")</f>
        <v>4975.20161290323</v>
      </c>
      <c r="E10">
        <f>IFERROR(数据!C10*数据!E10/(数据!F10*1000),"")</f>
        <v>324.517906336088</v>
      </c>
      <c r="F10">
        <f>IFERROR(数据!F10/C10,"")</f>
        <v>0.0158652932690359</v>
      </c>
      <c r="G10">
        <f>IFERROR(数据!F10/AVERAGE(数据!$F$2:$F$32),"")</f>
        <v>1.53531650923446</v>
      </c>
      <c r="H10">
        <f>IF(数据!F10="","",RANK(数据!F10,数据!$F$2:$F$32,0))</f>
        <v>4</v>
      </c>
    </row>
    <row r="11" spans="1:8">
      <c r="A11" s="16" t="s">
        <v>17</v>
      </c>
      <c r="B11" s="1">
        <f>IFERROR(数据!B11/数据!C11*10000,"")</f>
        <v>160694.346704199</v>
      </c>
      <c r="C11">
        <f>IFERROR(数据!D11/数据!B11*100,"")</f>
        <v>2.0129481490132</v>
      </c>
      <c r="D11">
        <f>IFERROR(数据!D11/数据!C11*10000,"")</f>
        <v>3234.69387755102</v>
      </c>
      <c r="E11">
        <f>IFERROR(数据!C11*数据!E11/(数据!F11*1000),"")</f>
        <v>2258.4829787234</v>
      </c>
      <c r="F11">
        <f>IFERROR(数据!F11/C11,"")</f>
        <v>0.00933953515355887</v>
      </c>
      <c r="G11">
        <f>IFERROR(数据!F11/AVERAGE(数据!$F$2:$F$32),"")</f>
        <v>0.795150148033272</v>
      </c>
      <c r="H11">
        <f>IF(数据!F11="","",RANK(数据!F11,数据!$F$2:$F$32,0))</f>
        <v>18</v>
      </c>
    </row>
    <row r="12" spans="1:8">
      <c r="A12" s="16" t="s">
        <v>18</v>
      </c>
      <c r="B12" s="1">
        <f>IFERROR(数据!B12/数据!C12*10000,"")</f>
        <v>135128.335832084</v>
      </c>
      <c r="C12">
        <f>IFERROR(数据!D12/数据!B12*100,"")</f>
        <v>2.74581551659481</v>
      </c>
      <c r="D12">
        <f>IFERROR(数据!D12/数据!C12*10000,"")</f>
        <v>3710.3748125937</v>
      </c>
      <c r="E12">
        <f>IFERROR(数据!C12*数据!E12/(数据!F12*1000),"")</f>
        <v>1820.96902654867</v>
      </c>
      <c r="F12">
        <f>IFERROR(数据!F12/C12,"")</f>
        <v>0.00823070590992476</v>
      </c>
      <c r="G12">
        <f>IFERROR(数据!F12/AVERAGE(数据!$F$2:$F$32),"")</f>
        <v>0.955871986465529</v>
      </c>
      <c r="H12">
        <f>IF(数据!F12="","",RANK(数据!F12,数据!$F$2:$F$32,0))</f>
        <v>15</v>
      </c>
    </row>
    <row r="13" spans="1:8">
      <c r="A13" s="16" t="s">
        <v>19</v>
      </c>
      <c r="B13" s="1">
        <f>IFERROR(数据!B13/数据!C13*10000,"")</f>
        <v>82680.3854319778</v>
      </c>
      <c r="C13">
        <f>IFERROR(数据!D13/数据!B13*100,"")</f>
        <v>3.07886191066899</v>
      </c>
      <c r="D13">
        <f>IFERROR(数据!D13/数据!C13*10000,"")</f>
        <v>2545.61489465948</v>
      </c>
      <c r="E13">
        <f>IFERROR(数据!C13*数据!E13/(数据!F13*1000),"")</f>
        <v>2717.9071942446</v>
      </c>
      <c r="F13">
        <f>IFERROR(数据!F13/C13,"")</f>
        <v>0.00451465522108451</v>
      </c>
      <c r="G13">
        <f>IFERROR(数据!F13/AVERAGE(数据!$F$2:$F$32),"")</f>
        <v>0.587903566896941</v>
      </c>
      <c r="H13">
        <f>IF(数据!F13="","",RANK(数据!F13,数据!$F$2:$F$32,0))</f>
        <v>25</v>
      </c>
    </row>
    <row r="14" spans="1:8">
      <c r="A14" s="16" t="s">
        <v>20</v>
      </c>
      <c r="B14" s="1">
        <f>IFERROR(数据!B14/数据!C14*10000,"")</f>
        <v>137755.783448605</v>
      </c>
      <c r="C14">
        <f>IFERROR(数据!D14/数据!B14*100,"")</f>
        <v>2.22889146656048</v>
      </c>
      <c r="D14">
        <f>IFERROR(数据!D14/数据!C14*10000,"")</f>
        <v>3070.42690197949</v>
      </c>
      <c r="E14">
        <f>IFERROR(数据!C14*数据!E14/(数据!F14*1000),"")</f>
        <v>1250.7017167382</v>
      </c>
      <c r="F14">
        <f>IFERROR(数据!F14/C14,"")</f>
        <v>0.0104536269933123</v>
      </c>
      <c r="G14">
        <f>IFERROR(数据!F14/AVERAGE(数据!$F$2:$F$32),"")</f>
        <v>0.985478640913577</v>
      </c>
      <c r="H14">
        <f>IF(数据!F14="","",RANK(数据!F14,数据!$F$2:$F$32,0))</f>
        <v>13</v>
      </c>
    </row>
    <row r="15" spans="1:8">
      <c r="A15" s="16" t="s">
        <v>21</v>
      </c>
      <c r="B15" s="1">
        <f>IFERROR(数据!B15/数据!C15*10000,"")</f>
        <v>75971.7903154154</v>
      </c>
      <c r="C15">
        <f>IFERROR(数据!D15/数据!B15*100,"")</f>
        <v>4.07405891382209</v>
      </c>
      <c r="D15">
        <f>IFERROR(数据!D15/数据!C15*10000,"")</f>
        <v>3095.13549533541</v>
      </c>
      <c r="E15">
        <f>IFERROR(数据!C15*数据!E15/(数据!F15*1000),"")</f>
        <v>2169.44202898551</v>
      </c>
      <c r="F15">
        <f>IFERROR(数据!F15/C15,"")</f>
        <v>0.00338728533187889</v>
      </c>
      <c r="G15">
        <f>IFERROR(数据!F15/AVERAGE(数据!$F$2:$F$32),"")</f>
        <v>0.583674044832934</v>
      </c>
      <c r="H15">
        <f>IF(数据!F15="","",RANK(数据!F15,数据!$F$2:$F$32,0))</f>
        <v>27</v>
      </c>
    </row>
    <row r="16" spans="1:8">
      <c r="A16" s="16" t="s">
        <v>22</v>
      </c>
      <c r="B16" s="1">
        <f>IFERROR(数据!B16/数据!C16*10000,"")</f>
        <v>97783.5317460318</v>
      </c>
      <c r="C16">
        <f>IFERROR(数据!D16/数据!B16*100,"")</f>
        <v>2.78873605246444</v>
      </c>
      <c r="D16">
        <f>IFERROR(数据!D16/数据!C16*10000,"")</f>
        <v>2726.9246031746</v>
      </c>
      <c r="E16">
        <f>IFERROR(数据!C16*数据!E16/(数据!F16*1000),"")</f>
        <v>3697.92</v>
      </c>
      <c r="F16">
        <f>IFERROR(数据!F16/C16,"")</f>
        <v>0.00627524429374914</v>
      </c>
      <c r="G16">
        <f>IFERROR(数据!F16/AVERAGE(数据!$F$2:$F$32),"")</f>
        <v>0.740166361201184</v>
      </c>
      <c r="H16">
        <f>IF(数据!F16="","",RANK(数据!F16,数据!$F$2:$F$32,0))</f>
        <v>21</v>
      </c>
    </row>
    <row r="17" spans="1:8">
      <c r="A17" s="16" t="s">
        <v>23</v>
      </c>
      <c r="B17" s="1">
        <f>IFERROR(数据!B17/数据!C17*10000,"")</f>
        <v>64987.2253449157</v>
      </c>
      <c r="C17">
        <f>IFERROR(数据!D17/数据!B17*100,"")</f>
        <v>3.23896839125649</v>
      </c>
      <c r="D17">
        <f>IFERROR(数据!D17/数据!C17*10000,"")</f>
        <v>2104.91568727644</v>
      </c>
      <c r="E17">
        <f>IFERROR(数据!C17*数据!E17/(数据!F17*1000),"")</f>
        <v>7848.17525773196</v>
      </c>
      <c r="F17">
        <f>IFERROR(数据!F17/C17,"")</f>
        <v>0.00299478069195887</v>
      </c>
      <c r="G17">
        <f>IFERROR(数据!F17/AVERAGE(数据!$F$2:$F$32),"")</f>
        <v>0.410263640208656</v>
      </c>
      <c r="H17">
        <f>IF(数据!F17="","",RANK(数据!F17,数据!$F$2:$F$32,0))</f>
        <v>30</v>
      </c>
    </row>
    <row r="18" spans="1:8">
      <c r="A18" s="16" t="s">
        <v>24</v>
      </c>
      <c r="B18" s="1">
        <f>IFERROR(数据!B18/数据!C18*10000,"")</f>
        <v>102867.672266027</v>
      </c>
      <c r="C18">
        <f>IFERROR(数据!D18/数据!B18*100,"")</f>
        <v>2.31624814623498</v>
      </c>
      <c r="D18">
        <f>IFERROR(数据!D18/数据!C18*10000,"")</f>
        <v>2382.67055193692</v>
      </c>
      <c r="E18">
        <f>IFERROR(数据!C18*数据!E18/(数据!F18*1000),"")</f>
        <v>1376.61929824561</v>
      </c>
      <c r="F18">
        <f>IFERROR(数据!F18/C18,"")</f>
        <v>0.00984350490989533</v>
      </c>
      <c r="G18">
        <f>IFERROR(数据!F18/AVERAGE(数据!$F$2:$F$32),"")</f>
        <v>0.964331030593543</v>
      </c>
      <c r="H18">
        <f>IF(数据!F18="","",RANK(数据!F18,数据!$F$2:$F$32,0))</f>
        <v>14</v>
      </c>
    </row>
    <row r="19" spans="1:8">
      <c r="A19" s="16" t="s">
        <v>25</v>
      </c>
      <c r="B19" s="1">
        <f>IFERROR(数据!B19/数据!C19*10000,"")</f>
        <v>81405.4136718153</v>
      </c>
      <c r="C19">
        <f>IFERROR(数据!D19/数据!B19*100,"")</f>
        <v>3.00841614848491</v>
      </c>
      <c r="D19">
        <f>IFERROR(数据!D19/数据!C19*10000,"")</f>
        <v>2449.01361064383</v>
      </c>
      <c r="E19">
        <f>IFERROR(数据!C19*数据!E19/(数据!F19*1000),"")</f>
        <v>2278.97692307692</v>
      </c>
      <c r="F19">
        <f>IFERROR(数据!F19/C19,"")</f>
        <v>0.00561757388801119</v>
      </c>
      <c r="G19">
        <f>IFERROR(数据!F19/AVERAGE(数据!$F$2:$F$32),"")</f>
        <v>0.714789228817144</v>
      </c>
      <c r="H19">
        <f>IF(数据!F19="","",RANK(数据!F19,数据!$F$2:$F$32,0))</f>
        <v>22</v>
      </c>
    </row>
    <row r="20" spans="1:8">
      <c r="A20" s="16" t="s">
        <v>26</v>
      </c>
      <c r="B20" s="1">
        <f>IFERROR(数据!B20/数据!C20*10000,"")</f>
        <v>110824.569640063</v>
      </c>
      <c r="C20">
        <f>IFERROR(数据!D20/数据!B20*100,"")</f>
        <v>2.86341960746658</v>
      </c>
      <c r="D20">
        <f>IFERROR(数据!D20/数据!C20*10000,"")</f>
        <v>3173.37245696401</v>
      </c>
      <c r="E20">
        <f>IFERROR(数据!C20*数据!E20/(数据!F20*1000),"")</f>
        <v>6722.73372781065</v>
      </c>
      <c r="F20">
        <f>IFERROR(数据!F20/C20,"")</f>
        <v>0.00590203404207053</v>
      </c>
      <c r="G20">
        <f>IFERROR(数据!F20/AVERAGE(数据!$F$2:$F$32),"")</f>
        <v>0.714789228817144</v>
      </c>
      <c r="H20">
        <f>IF(数据!F20="","",RANK(数据!F20,数据!$F$2:$F$32,0))</f>
        <v>22</v>
      </c>
    </row>
    <row r="21" spans="1:8">
      <c r="A21" s="16" t="s">
        <v>27</v>
      </c>
      <c r="B21" s="1">
        <f>IFERROR(数据!B21/数据!C21*10000,"")</f>
        <v>57150.2094554159</v>
      </c>
      <c r="C21">
        <f>IFERROR(数据!D21/数据!B21*100,"")</f>
        <v>4.2805433970694</v>
      </c>
      <c r="D21">
        <f>IFERROR(数据!D21/数据!C21*10000,"")</f>
        <v>2446.33951725514</v>
      </c>
      <c r="E21">
        <f>IFERROR(数据!C21*数据!E21/(数据!F21*1000),"")</f>
        <v>3018.61942446043</v>
      </c>
      <c r="F21">
        <f>IFERROR(数据!F21/C21,"")</f>
        <v>0.00324725127410609</v>
      </c>
      <c r="G21">
        <f>IFERROR(数据!F21/AVERAGE(数据!$F$2:$F$32),"")</f>
        <v>0.587903566896941</v>
      </c>
      <c r="H21">
        <f>IF(数据!F21="","",RANK(数据!F21,数据!$F$2:$F$32,0))</f>
        <v>25</v>
      </c>
    </row>
    <row r="22" spans="1:8">
      <c r="A22" s="16" t="s">
        <v>28</v>
      </c>
      <c r="B22" s="1">
        <f>IFERROR(数据!B22/数据!C22*10000,"")</f>
        <v>75722.3282442748</v>
      </c>
      <c r="C22">
        <f>IFERROR(数据!D22/数据!B22*100,"")</f>
        <v>4.56670489055786</v>
      </c>
      <c r="D22">
        <f>IFERROR(数据!D22/数据!C22*10000,"")</f>
        <v>3458.01526717557</v>
      </c>
      <c r="E22">
        <f>IFERROR(数据!C22*数据!E22/(数据!F22*1000),"")</f>
        <v>530.797837837838</v>
      </c>
      <c r="F22">
        <f>IFERROR(数据!F22/C22,"")</f>
        <v>0.00405106098233996</v>
      </c>
      <c r="G22">
        <f>IFERROR(数据!F22/AVERAGE(数据!$F$2:$F$32),"")</f>
        <v>0.782461581841252</v>
      </c>
      <c r="H22">
        <f>IF(数据!F22="","",RANK(数据!F22,数据!$F$2:$F$32,0))</f>
        <v>19</v>
      </c>
    </row>
    <row r="23" spans="1:8">
      <c r="A23" s="16" t="s">
        <v>29</v>
      </c>
      <c r="B23" s="1">
        <f>IFERROR(数据!B23/数据!C23*10000,"")</f>
        <v>100919.122257053</v>
      </c>
      <c r="C23">
        <f>IFERROR(数据!D23/数据!B23*100,"")</f>
        <v>2.66708497446666</v>
      </c>
      <c r="D23">
        <f>IFERROR(数据!D23/数据!C23*10000,"")</f>
        <v>2691.5987460815</v>
      </c>
      <c r="E23">
        <f>IFERROR(数据!C23*数据!E23/(数据!F23*1000),"")</f>
        <v>712.988805970149</v>
      </c>
      <c r="F23">
        <f>IFERROR(数据!F23/C23,"")</f>
        <v>0.010048423749738</v>
      </c>
      <c r="G23">
        <f>IFERROR(数据!F23/AVERAGE(数据!$F$2:$F$32),"")</f>
        <v>1.13351191315381</v>
      </c>
      <c r="H23">
        <f>IF(数据!F23="","",RANK(数据!F23,数据!$F$2:$F$32,0))</f>
        <v>9</v>
      </c>
    </row>
    <row r="24" spans="1:8">
      <c r="A24" s="16" t="s">
        <v>30</v>
      </c>
      <c r="B24" s="1">
        <f>IFERROR(数据!B24/数据!C24*10000,"")</f>
        <v>77351.7455762793</v>
      </c>
      <c r="C24">
        <f>IFERROR(数据!D24/数据!B24*100,"")</f>
        <v>3.04446883163052</v>
      </c>
      <c r="D24">
        <f>IFERROR(数据!D24/数据!C24*10000,"")</f>
        <v>2354.94978479197</v>
      </c>
      <c r="E24">
        <f>IFERROR(数据!C24*数据!E24/(数据!F24*1000),"")</f>
        <v>3028.99661016949</v>
      </c>
      <c r="F24">
        <f>IFERROR(数据!F24/C24,"")</f>
        <v>0.00581382204215913</v>
      </c>
      <c r="G24">
        <f>IFERROR(数据!F24/AVERAGE(数据!$F$2:$F$32),"")</f>
        <v>0.748625405329198</v>
      </c>
      <c r="H24">
        <f>IF(数据!F24="","",RANK(数据!F24,数据!$F$2:$F$32,0))</f>
        <v>20</v>
      </c>
    </row>
    <row r="25" spans="1:8">
      <c r="A25" s="16" t="s">
        <v>31</v>
      </c>
      <c r="B25" s="1">
        <f>IFERROR(数据!B25/数据!C25*10000,"")</f>
        <v>58723.0569948187</v>
      </c>
      <c r="C25">
        <f>IFERROR(数据!D25/数据!B25*100,"")</f>
        <v>5.33738325590834</v>
      </c>
      <c r="D25">
        <f>IFERROR(数据!D25/数据!C25*10000,"")</f>
        <v>3134.27461139896</v>
      </c>
      <c r="E25">
        <f>IFERROR(数据!C25*数据!E25/(数据!F25*1000),"")</f>
        <v>2709.56862745098</v>
      </c>
      <c r="F25">
        <f>IFERROR(数据!F25/C25,"")</f>
        <v>0.0028665732375623</v>
      </c>
      <c r="G25">
        <f>IFERROR(数据!F25/AVERAGE(数据!$F$2:$F$32),"")</f>
        <v>0.647116875793035</v>
      </c>
      <c r="H25">
        <f>IF(数据!F25="","",RANK(数据!F25,数据!$F$2:$F$32,0))</f>
        <v>24</v>
      </c>
    </row>
    <row r="26" spans="1:8">
      <c r="A26" s="16" t="s">
        <v>32</v>
      </c>
      <c r="B26" s="1">
        <f>IFERROR(数据!B26/数据!C26*10000,"")</f>
        <v>67742.4274973147</v>
      </c>
      <c r="C26">
        <f>IFERROR(数据!D26/数据!B26*100,"")</f>
        <v>3.79785692314035</v>
      </c>
      <c r="D26">
        <f>IFERROR(数据!D26/数据!C26*10000,"")</f>
        <v>2572.7604726101</v>
      </c>
      <c r="E26">
        <f>IFERROR(数据!C26*数据!E26/(数据!F26*1000),"")</f>
        <v>3489.22608695652</v>
      </c>
      <c r="F26">
        <f>IFERROR(数据!F26/C26,"")</f>
        <v>0.00302802349660159</v>
      </c>
      <c r="G26">
        <f>IFERROR(数据!F26/AVERAGE(数据!$F$2:$F$32),"")</f>
        <v>0.486395037360778</v>
      </c>
      <c r="H26">
        <f>IF(数据!F26="","",RANK(数据!F26,数据!$F$2:$F$32,0))</f>
        <v>29</v>
      </c>
    </row>
    <row r="27" spans="1:8">
      <c r="A27" s="16" t="s">
        <v>33</v>
      </c>
      <c r="B27" s="1">
        <f>IFERROR(数据!B27/数据!C27*10000,"")</f>
        <v>74727.027027027</v>
      </c>
      <c r="C27">
        <f>IFERROR(数据!D27/数据!B27*100,"")</f>
        <v>12.0666208542804</v>
      </c>
      <c r="D27">
        <f>IFERROR(数据!D27/数据!C27*10000,"")</f>
        <v>9017.02702702703</v>
      </c>
      <c r="E27" t="s">
        <v>34</v>
      </c>
      <c r="F27" t="s">
        <v>34</v>
      </c>
      <c r="G27" t="s">
        <v>34</v>
      </c>
      <c r="H27" t="s">
        <v>34</v>
      </c>
    </row>
    <row r="28" spans="1:8">
      <c r="A28" s="16" t="s">
        <v>35</v>
      </c>
      <c r="B28" s="1">
        <f>IFERROR(数据!B28/数据!C28*10000,"")</f>
        <v>89903.3645332659</v>
      </c>
      <c r="C28">
        <f>IFERROR(数据!D28/数据!B28*100,"")</f>
        <v>3.15019077740385</v>
      </c>
      <c r="D28">
        <f>IFERROR(数据!D28/数据!C28*10000,"")</f>
        <v>2832.12749810271</v>
      </c>
      <c r="E28">
        <f>IFERROR(数据!C28*数据!E28/(数据!F28*1000),"")</f>
        <v>982.908108108108</v>
      </c>
      <c r="F28">
        <f>IFERROR(数据!F28/C28,"")</f>
        <v>0.00939625631955982</v>
      </c>
      <c r="G28">
        <f>IFERROR(数据!F28/AVERAGE(数据!$F$2:$F$32),"")</f>
        <v>1.251938530946</v>
      </c>
      <c r="H28">
        <f>IF(数据!F28="","",RANK(数据!F28,数据!$F$2:$F$32,0))</f>
        <v>7</v>
      </c>
    </row>
    <row r="29" spans="1:8">
      <c r="A29" s="16" t="s">
        <v>36</v>
      </c>
      <c r="B29" s="1">
        <f>IFERROR(数据!B29/数据!C29*10000,"")</f>
        <v>52900.32546786</v>
      </c>
      <c r="C29">
        <f>IFERROR(数据!D29/数据!B29*100,"")</f>
        <v>5.56706580839659</v>
      </c>
      <c r="D29">
        <f>IFERROR(数据!D29/数据!C29*10000,"")</f>
        <v>2944.99593165175</v>
      </c>
      <c r="E29">
        <f>IFERROR(数据!C29*数据!E29/(数据!F29*1000),"")</f>
        <v>664.324324324324</v>
      </c>
      <c r="F29">
        <f>IFERROR(数据!F29/C29,"")</f>
        <v>0.00531698403050229</v>
      </c>
      <c r="G29">
        <f>IFERROR(数据!F29/AVERAGE(数据!$F$2:$F$32),"")</f>
        <v>1.251938530946</v>
      </c>
      <c r="H29">
        <f>IF(数据!F29="","",RANK(数据!F29,数据!$F$2:$F$32,0))</f>
        <v>7</v>
      </c>
    </row>
    <row r="30" spans="1:8">
      <c r="A30" s="16" t="s">
        <v>37</v>
      </c>
      <c r="B30" s="1">
        <f>IFERROR(数据!B30/数据!C30*10000,"")</f>
        <v>66623.9460370995</v>
      </c>
      <c r="C30">
        <f>IFERROR(数据!D30/数据!B30*100,"")</f>
        <v>5.87425331578414</v>
      </c>
      <c r="D30">
        <f>IFERROR(数据!D30/数据!C30*10000,"")</f>
        <v>3913.65935919056</v>
      </c>
      <c r="E30">
        <f>IFERROR(数据!C30*数据!E30/(数据!F30*1000),"")</f>
        <v>228.825572519084</v>
      </c>
      <c r="F30">
        <f>IFERROR(数据!F30/C30,"")</f>
        <v>0.00446014133057566</v>
      </c>
      <c r="G30">
        <f>IFERROR(数据!F30/AVERAGE(数据!$F$2:$F$32),"")</f>
        <v>1.10813478076977</v>
      </c>
      <c r="H30">
        <f>IF(数据!F30="","",RANK(数据!F30,数据!$F$2:$F$32,0))</f>
        <v>11</v>
      </c>
    </row>
    <row r="31" spans="1:8">
      <c r="A31" s="16" t="s">
        <v>38</v>
      </c>
      <c r="B31" s="1">
        <f>IFERROR(数据!B31/数据!C31*10000,"")</f>
        <v>75484.2249657064</v>
      </c>
      <c r="C31">
        <f>IFERROR(数据!D31/数据!B31*100,"")</f>
        <v>4.09591480700734</v>
      </c>
      <c r="D31">
        <f>IFERROR(数据!D31/数据!C31*10000,"")</f>
        <v>3091.7695473251</v>
      </c>
      <c r="E31">
        <f>IFERROR(数据!C31*数据!E31/(数据!F31*1000),"")</f>
        <v>392.016176470588</v>
      </c>
      <c r="F31">
        <f>IFERROR(数据!F31/C31,"")</f>
        <v>0.00498057234127512</v>
      </c>
      <c r="G31">
        <f>IFERROR(数据!F31/AVERAGE(数据!$F$2:$F$32),"")</f>
        <v>0.862822501057381</v>
      </c>
      <c r="H31">
        <f>IF(数据!F31="","",RANK(数据!F31,数据!$F$2:$F$32,0))</f>
        <v>16</v>
      </c>
    </row>
    <row r="32" spans="1:8">
      <c r="A32" s="16" t="s">
        <v>39</v>
      </c>
      <c r="B32" s="1">
        <f>IFERROR(数据!B32/数据!C32*10000,"")</f>
        <v>78284.7884102173</v>
      </c>
      <c r="C32">
        <f>IFERROR(数据!D32/数据!B32*100,"")</f>
        <v>5.92098022314102</v>
      </c>
      <c r="D32">
        <f>IFERROR(数据!D32/数据!C32*10000,"")</f>
        <v>4635.22683949676</v>
      </c>
      <c r="E32">
        <f>IFERROR(数据!C32*数据!E32/(数据!F32*1000),"")</f>
        <v>746.485196374622</v>
      </c>
      <c r="F32">
        <f>IFERROR(数据!F32/C32,"")</f>
        <v>0.0055902905857775</v>
      </c>
      <c r="G32">
        <f>IFERROR(数据!F32/AVERAGE(数据!$F$2:$F$32),"")</f>
        <v>1.39997180318624</v>
      </c>
      <c r="H32">
        <f>IF(数据!F32="","",RANK(数据!F32,数据!$F$2:$F$32,0))</f>
        <v>5</v>
      </c>
    </row>
    <row r="33" spans="2:4">
      <c r="B33" s="1" t="str">
        <f>IFERROR(数据!B33/数据!C33*10000,"")</f>
        <v/>
      </c>
      <c r="C33" t="str">
        <f>IFERROR(数据!D33/数据!B33*100,"")</f>
        <v/>
      </c>
      <c r="D33" t="str">
        <f>IFERROR(数据!D33/数据!C33*10000,"")</f>
        <v/>
      </c>
    </row>
    <row r="34" spans="2:4">
      <c r="B34" s="1" t="str">
        <f>IFERROR(数据!B34/数据!C34*10000,"")</f>
        <v/>
      </c>
      <c r="D34" t="str">
        <f>IFERROR(数据!D34/数据!C34*10000,"")</f>
        <v/>
      </c>
    </row>
    <row r="35" spans="2:2">
      <c r="B35" s="1" t="str">
        <f>IFERROR(数据!B35/数据!C35*10000,"")</f>
        <v/>
      </c>
    </row>
    <row r="36" spans="2:2">
      <c r="B36" s="1" t="str">
        <f>IFERROR(数据!B36/数据!C36*10000,"")</f>
        <v/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F20" sqref="F20"/>
    </sheetView>
  </sheetViews>
  <sheetFormatPr defaultColWidth="9" defaultRowHeight="14"/>
  <cols>
    <col min="2" max="2" width="12.8181818181818"/>
    <col min="8" max="8" width="12.8181818181818"/>
  </cols>
  <sheetData>
    <row r="1" spans="1:14">
      <c r="A1" s="1" t="s">
        <v>47</v>
      </c>
      <c r="B1" s="1" t="s">
        <v>48</v>
      </c>
      <c r="C1" s="1" t="s">
        <v>49</v>
      </c>
      <c r="E1" s="1" t="s">
        <v>50</v>
      </c>
      <c r="F1" s="1" t="s">
        <v>0</v>
      </c>
      <c r="G1" s="1" t="s">
        <v>51</v>
      </c>
      <c r="H1" s="1" t="s">
        <v>52</v>
      </c>
      <c r="J1" s="1" t="s">
        <v>53</v>
      </c>
      <c r="K1" s="2" t="s">
        <v>54</v>
      </c>
      <c r="L1" s="2" t="s">
        <v>55</v>
      </c>
      <c r="M1" s="2" t="s">
        <v>56</v>
      </c>
      <c r="N1" s="2" t="s">
        <v>57</v>
      </c>
    </row>
    <row r="2" spans="1:14">
      <c r="A2" s="1" t="s">
        <v>58</v>
      </c>
      <c r="B2">
        <f>MAX(数据!F2:F32)</f>
        <v>0.0555</v>
      </c>
      <c r="E2" s="1" t="s">
        <v>59</v>
      </c>
      <c r="F2" t="str" cm="1">
        <f t="array" ref="F2">INDEX(指标!A:A,MATCH(1,指标!H:H,0))</f>
        <v>北京市</v>
      </c>
      <c r="G2">
        <f>VLOOKUP(F2,数据!A:F,6,FALSE)</f>
        <v>0.0555</v>
      </c>
      <c r="H2">
        <f>VLOOKUP(F2,指标!A:C,3,FALSE)</f>
        <v>2.5021517521984</v>
      </c>
      <c r="J2" s="1" t="s">
        <v>60</v>
      </c>
      <c r="K2">
        <f>COUNTIFS(指标!C:C,"&gt;"&amp;AVERAGE(指标!C:C),数据!F:F,"&gt;"&amp;AVERAGE(数据!F:F))</f>
        <v>3</v>
      </c>
      <c r="L2">
        <f>COUNTIFS(指标!C:C,"&gt;"&amp;AVERAGE(指标!C:C),数据!F:F,"&lt;="&amp;AVERAGE(数据!F:F))</f>
        <v>7</v>
      </c>
      <c r="M2">
        <f>COUNTIFS(指标!C:C,"&lt;="&amp;AVERAGE(指标!C:C),数据!F:F,"&gt;"&amp;AVERAGE(数据!F:F))</f>
        <v>9</v>
      </c>
      <c r="N2">
        <f>COUNTIFS(指标!C:C,"&lt;="&amp;AVERAGE(指标!C:C),数据!F:F,"&lt;="&amp;AVERAGE(数据!F:F))</f>
        <v>11</v>
      </c>
    </row>
    <row r="3" spans="1:8">
      <c r="A3" s="1" t="s">
        <v>61</v>
      </c>
      <c r="B3" s="1">
        <f>MAX(数据!G5:G35)</f>
        <v>0.1238</v>
      </c>
      <c r="C3" s="1"/>
      <c r="E3" s="1" t="s">
        <v>62</v>
      </c>
      <c r="F3" t="str" cm="1">
        <f t="array" ref="F3">INDEX(指标!A:A,MATCH(2,指标!H:H,0))</f>
        <v>吉林省</v>
      </c>
      <c r="G3">
        <f>VLOOKUP(F3,数据!A:F,6,FALSE)</f>
        <v>0.047</v>
      </c>
      <c r="H3">
        <f>VLOOKUP(F3,指标!A:C,3,FALSE)</f>
        <v>3.75574464529426</v>
      </c>
    </row>
    <row r="4" spans="1:8">
      <c r="A4" s="1" t="s">
        <v>63</v>
      </c>
      <c r="B4" s="1">
        <f>MIN(数据!G6:G36)</f>
        <v>0.0289</v>
      </c>
      <c r="E4" s="1" t="s">
        <v>64</v>
      </c>
      <c r="F4" t="str" cm="1">
        <f t="array" ref="F4">INDEX(指标!A:A,MATCH(3,指标!H:H,0))</f>
        <v>天津市</v>
      </c>
      <c r="G4">
        <f>VLOOKUP(F4,数据!A:F,6,FALSE)</f>
        <v>0.0391</v>
      </c>
      <c r="H4">
        <f>VLOOKUP(F4,指标!A:C,3,FALSE)</f>
        <v>2.77414379476595</v>
      </c>
    </row>
    <row r="5" spans="1:8">
      <c r="A5" s="1" t="s">
        <v>65</v>
      </c>
      <c r="B5">
        <f>AVERAGE(指标!C2:C32)</f>
        <v>3.75804354959886</v>
      </c>
      <c r="E5" s="1" t="s">
        <v>66</v>
      </c>
      <c r="F5" t="str" cm="1">
        <f t="array" ref="F5">INDEX(指标!A:A,MATCH(4,指标!H:H,0))</f>
        <v>上海市</v>
      </c>
      <c r="G5">
        <f>VLOOKUP(F5,数据!A:F,6,FALSE)</f>
        <v>0.0363</v>
      </c>
      <c r="H5">
        <f>VLOOKUP(F5,指标!A:C,3,FALSE)</f>
        <v>2.28801317343728</v>
      </c>
    </row>
    <row r="6" spans="1:8">
      <c r="A6" s="1" t="s">
        <v>67</v>
      </c>
      <c r="B6" s="1">
        <f>MAX(指标!F2:F32)</f>
        <v>0.0221809088722287</v>
      </c>
      <c r="E6" s="1" t="s">
        <v>68</v>
      </c>
      <c r="F6" t="str" cm="1">
        <f t="array" ref="F6">INDEX(指标!A:A,MATCH(5,指标!H:H,0))</f>
        <v>新疆维吾尔自治区</v>
      </c>
      <c r="G6">
        <f>VLOOKUP(F6,数据!A:F,6,FALSE)</f>
        <v>0.0331</v>
      </c>
      <c r="H6">
        <f>VLOOKUP(F6,指标!A:C,3,FALSE)</f>
        <v>5.92098022314102</v>
      </c>
    </row>
    <row r="7" spans="1:8">
      <c r="A7" s="1" t="s">
        <v>69</v>
      </c>
      <c r="B7">
        <f>MAX(指标!E2:E32)</f>
        <v>7848.17525773196</v>
      </c>
      <c r="E7" s="1" t="s">
        <v>70</v>
      </c>
      <c r="F7" t="str" cm="1">
        <f t="array" ref="F7">INDEX(指标!A:A,MATCH(6,指标!H:H,0))</f>
        <v>辽宁省</v>
      </c>
      <c r="G7">
        <f>VLOOKUP(F7,数据!A:F,6,FALSE)</f>
        <v>0.031</v>
      </c>
      <c r="H7">
        <f>VLOOKUP(F7,指标!A:C,3,FALSE)</f>
        <v>2.27184501743186</v>
      </c>
    </row>
    <row r="8" spans="1:5">
      <c r="A8" s="1" t="s">
        <v>71</v>
      </c>
      <c r="B8">
        <f>STDEV(指标!C2:C32)</f>
        <v>1.88183384747949</v>
      </c>
      <c r="E8" s="1"/>
    </row>
    <row r="9" spans="1:5">
      <c r="A9" s="1" t="s">
        <v>72</v>
      </c>
      <c r="B9">
        <f>STDEV(数据!F2:F32)</f>
        <v>0.0106515559275704</v>
      </c>
      <c r="E9" s="1"/>
    </row>
    <row r="10" spans="1:5">
      <c r="A10" s="1" t="s">
        <v>73</v>
      </c>
      <c r="B10" t="s">
        <v>74</v>
      </c>
      <c r="E10" s="1"/>
    </row>
    <row r="11" spans="5:5">
      <c r="E11" s="1"/>
    </row>
    <row r="12" spans="5:5">
      <c r="E12" s="1"/>
    </row>
    <row r="13" spans="5:5">
      <c r="E13" s="1"/>
    </row>
    <row r="14" spans="5:5">
      <c r="E14" s="1"/>
    </row>
    <row r="15" spans="5:5">
      <c r="E15" s="1"/>
    </row>
    <row r="16" spans="5:5">
      <c r="E16" s="1"/>
    </row>
    <row r="17" spans="5:5">
      <c r="E17" s="1"/>
    </row>
    <row r="18" spans="5:5">
      <c r="E18" s="1"/>
    </row>
    <row r="19" spans="5:5">
      <c r="E19" s="1"/>
    </row>
    <row r="20" spans="5:5">
      <c r="E20" s="1"/>
    </row>
    <row r="21" spans="5:5">
      <c r="E21" s="1"/>
    </row>
    <row r="22" spans="5:5">
      <c r="E22" s="1"/>
    </row>
    <row r="23" spans="5:5">
      <c r="E23" s="1"/>
    </row>
    <row r="24" spans="5:5">
      <c r="E24" s="1"/>
    </row>
    <row r="25" spans="5:5">
      <c r="E25" s="1"/>
    </row>
    <row r="26" spans="5:5">
      <c r="E26" s="1"/>
    </row>
    <row r="27" spans="5:5">
      <c r="E27" s="1"/>
    </row>
    <row r="28" spans="5:5">
      <c r="E28" s="1"/>
    </row>
    <row r="29" spans="5:5">
      <c r="E29" s="1"/>
    </row>
    <row r="30" spans="5:5">
      <c r="E30" s="1"/>
    </row>
    <row r="31" spans="5:5">
      <c r="E31" s="1"/>
    </row>
    <row r="32" spans="5:5">
      <c r="E32" s="1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3"/>
  <sheetViews>
    <sheetView zoomScale="70" zoomScaleNormal="70" topLeftCell="D1" workbookViewId="0">
      <selection activeCell="Z28" sqref="Z28"/>
    </sheetView>
  </sheetViews>
  <sheetFormatPr defaultColWidth="8.72727272727273" defaultRowHeight="14" outlineLevelCol="5"/>
  <cols>
    <col min="1" max="2" width="12.8181818181818"/>
    <col min="4" max="4" width="11.7272727272727"/>
  </cols>
  <sheetData>
    <row r="1" spans="1:5">
      <c r="A1" s="1" t="s">
        <v>0</v>
      </c>
      <c r="B1" s="2" t="s">
        <v>52</v>
      </c>
      <c r="C1" s="3" t="s">
        <v>75</v>
      </c>
      <c r="D1" s="13" t="s">
        <v>40</v>
      </c>
      <c r="E1" s="13" t="s">
        <v>76</v>
      </c>
    </row>
    <row r="2" ht="26" spans="1:5">
      <c r="A2" s="3" t="str">
        <f>指标!A2</f>
        <v>北京市</v>
      </c>
      <c r="B2" s="1">
        <f>指标!C2</f>
        <v>2.5021517521984</v>
      </c>
      <c r="C2" s="1">
        <f>数据!F2*100</f>
        <v>5.55</v>
      </c>
      <c r="D2" s="9">
        <v>228323.8662</v>
      </c>
      <c r="E2" s="14" t="s">
        <v>56</v>
      </c>
    </row>
    <row r="3" ht="26" spans="1:5">
      <c r="A3" s="3" t="str">
        <f>指标!A3</f>
        <v>天津市</v>
      </c>
      <c r="B3" s="1">
        <f>指标!C3</f>
        <v>2.77414379476595</v>
      </c>
      <c r="C3" s="1">
        <f>数据!F3*100</f>
        <v>3.91</v>
      </c>
      <c r="D3" s="9">
        <v>132142.9619</v>
      </c>
      <c r="E3" s="14" t="s">
        <v>56</v>
      </c>
    </row>
    <row r="4" ht="26" spans="1:5">
      <c r="A4" s="3" t="str">
        <f>指标!A4</f>
        <v>河北省</v>
      </c>
      <c r="B4" s="1">
        <f>指标!C4</f>
        <v>3.84801028470193</v>
      </c>
      <c r="C4" s="1">
        <f>数据!F4*100</f>
        <v>1.16</v>
      </c>
      <c r="D4" s="9">
        <v>64417.05069</v>
      </c>
      <c r="E4" s="14" t="s">
        <v>55</v>
      </c>
    </row>
    <row r="5" ht="26" spans="1:5">
      <c r="A5" s="3" t="str">
        <f>指标!A5</f>
        <v>山西省</v>
      </c>
      <c r="B5" s="1">
        <f>指标!C5</f>
        <v>3.6168301647009</v>
      </c>
      <c r="C5" s="1">
        <f>数据!F5*100</f>
        <v>1.9</v>
      </c>
      <c r="D5" s="9">
        <v>73983.45908</v>
      </c>
      <c r="E5" s="14" t="s">
        <v>57</v>
      </c>
    </row>
    <row r="6" ht="26" spans="1:5">
      <c r="A6" s="3" t="str">
        <f>指标!A6</f>
        <v>内蒙古自治区</v>
      </c>
      <c r="B6" s="1">
        <f>指标!C6</f>
        <v>2.97800460580818</v>
      </c>
      <c r="C6" s="1">
        <f>数据!F6*100</f>
        <v>2.64</v>
      </c>
      <c r="D6" s="9">
        <v>110195.1424</v>
      </c>
      <c r="E6" s="14" t="s">
        <v>56</v>
      </c>
    </row>
    <row r="7" ht="26" spans="1:5">
      <c r="A7" s="3" t="str">
        <f>指标!A7</f>
        <v>辽宁省</v>
      </c>
      <c r="B7" s="1">
        <f>指标!C7</f>
        <v>2.27184501743186</v>
      </c>
      <c r="C7" s="1">
        <f>数据!F7*100</f>
        <v>3.1</v>
      </c>
      <c r="D7" s="9">
        <v>78490.25271</v>
      </c>
      <c r="E7" s="14" t="s">
        <v>56</v>
      </c>
    </row>
    <row r="8" ht="26" spans="1:5">
      <c r="A8" s="3" t="str">
        <f>指标!A8</f>
        <v>吉林省</v>
      </c>
      <c r="B8" s="1">
        <f>指标!C8</f>
        <v>3.75574464529426</v>
      </c>
      <c r="C8" s="1">
        <f>数据!F8*100</f>
        <v>4.7</v>
      </c>
      <c r="D8" s="9">
        <v>61981.87311</v>
      </c>
      <c r="E8" s="14" t="s">
        <v>56</v>
      </c>
    </row>
    <row r="9" ht="26" spans="1:5">
      <c r="A9" s="3" t="str">
        <f>指标!A9</f>
        <v>黑龙江省</v>
      </c>
      <c r="B9" s="1">
        <f>指标!C9</f>
        <v>3.73917423787241</v>
      </c>
      <c r="C9" s="1">
        <f>数据!F9*100</f>
        <v>2.46</v>
      </c>
      <c r="D9" s="9">
        <v>54397.16078</v>
      </c>
      <c r="E9" s="14" t="s">
        <v>56</v>
      </c>
    </row>
    <row r="10" ht="26" spans="1:5">
      <c r="A10" s="3" t="str">
        <f>指标!A10</f>
        <v>上海市</v>
      </c>
      <c r="B10" s="1">
        <f>指标!C10</f>
        <v>2.28801317343728</v>
      </c>
      <c r="C10" s="1">
        <f>数据!F10*100</f>
        <v>3.63</v>
      </c>
      <c r="D10" s="9">
        <v>217446.371</v>
      </c>
      <c r="E10" s="14" t="s">
        <v>56</v>
      </c>
    </row>
    <row r="11" ht="26" spans="1:5">
      <c r="A11" s="3" t="str">
        <f>指标!A11</f>
        <v>江苏省</v>
      </c>
      <c r="B11" s="1">
        <f>指标!C11</f>
        <v>2.0129481490132</v>
      </c>
      <c r="C11" s="1">
        <f>数据!F11*100</f>
        <v>1.88</v>
      </c>
      <c r="D11" s="9">
        <v>160694.3467</v>
      </c>
      <c r="E11" s="14" t="s">
        <v>57</v>
      </c>
    </row>
    <row r="12" ht="26" spans="1:5">
      <c r="A12" s="3" t="str">
        <f>指标!A12</f>
        <v>浙江省</v>
      </c>
      <c r="B12" s="1">
        <f>指标!C12</f>
        <v>2.74581551659481</v>
      </c>
      <c r="C12" s="1">
        <f>数据!F12*100</f>
        <v>2.26</v>
      </c>
      <c r="D12" s="9">
        <v>135128.3358</v>
      </c>
      <c r="E12" s="14" t="s">
        <v>57</v>
      </c>
    </row>
    <row r="13" ht="26" spans="1:5">
      <c r="A13" s="3" t="str">
        <f>指标!A13</f>
        <v>安徽省</v>
      </c>
      <c r="B13" s="1">
        <f>指标!C13</f>
        <v>3.07886191066899</v>
      </c>
      <c r="C13" s="1">
        <f>数据!F13*100</f>
        <v>1.39</v>
      </c>
      <c r="D13" s="9">
        <v>82680.38543</v>
      </c>
      <c r="E13" s="14" t="s">
        <v>57</v>
      </c>
    </row>
    <row r="14" ht="26" spans="1:5">
      <c r="A14" s="3" t="str">
        <f>指标!A14</f>
        <v>福建省</v>
      </c>
      <c r="B14" s="1">
        <f>指标!C14</f>
        <v>2.22889146656048</v>
      </c>
      <c r="C14" s="1">
        <f>数据!F14*100</f>
        <v>2.33</v>
      </c>
      <c r="D14" s="9">
        <v>137755.7834</v>
      </c>
      <c r="E14" s="14" t="s">
        <v>57</v>
      </c>
    </row>
    <row r="15" ht="26" spans="1:5">
      <c r="A15" s="3" t="str">
        <f>指标!A15</f>
        <v>江西省</v>
      </c>
      <c r="B15" s="1">
        <f>指标!C15</f>
        <v>4.07405891382209</v>
      </c>
      <c r="C15" s="1">
        <f>数据!F15*100</f>
        <v>1.38</v>
      </c>
      <c r="D15" s="9">
        <v>75971.79032</v>
      </c>
      <c r="E15" s="14" t="s">
        <v>55</v>
      </c>
    </row>
    <row r="16" ht="26" spans="1:5">
      <c r="A16" s="3" t="str">
        <f>指标!A16</f>
        <v>山东省</v>
      </c>
      <c r="B16" s="1">
        <f>指标!C16</f>
        <v>2.78873605246444</v>
      </c>
      <c r="C16" s="1">
        <f>数据!F16*100</f>
        <v>1.75</v>
      </c>
      <c r="D16" s="9">
        <v>97783.53175</v>
      </c>
      <c r="E16" s="14" t="s">
        <v>57</v>
      </c>
    </row>
    <row r="17" ht="26" spans="1:5">
      <c r="A17" s="3" t="str">
        <f>指标!A17</f>
        <v>河南省</v>
      </c>
      <c r="B17" s="1">
        <f>指标!C17</f>
        <v>3.23896839125649</v>
      </c>
      <c r="C17" s="1">
        <f>数据!F17*100</f>
        <v>0.97</v>
      </c>
      <c r="D17" s="9">
        <v>64987.22534</v>
      </c>
      <c r="E17" s="14" t="s">
        <v>57</v>
      </c>
    </row>
    <row r="18" ht="26" spans="1:5">
      <c r="A18" s="3" t="str">
        <f>指标!A18</f>
        <v>湖北省</v>
      </c>
      <c r="B18" s="1">
        <f>指标!C18</f>
        <v>2.31624814623498</v>
      </c>
      <c r="C18" s="1">
        <f>数据!F18*100</f>
        <v>2.28</v>
      </c>
      <c r="D18" s="9">
        <v>102867.6723</v>
      </c>
      <c r="E18" s="14" t="s">
        <v>57</v>
      </c>
    </row>
    <row r="19" ht="26" spans="1:5">
      <c r="A19" s="3" t="str">
        <f>指标!A19</f>
        <v>湖南省</v>
      </c>
      <c r="B19" s="1">
        <f>指标!C19</f>
        <v>3.00841614848491</v>
      </c>
      <c r="C19" s="1">
        <f>数据!F19*100</f>
        <v>1.69</v>
      </c>
      <c r="D19" s="9">
        <v>81405.41367</v>
      </c>
      <c r="E19" s="14" t="s">
        <v>57</v>
      </c>
    </row>
    <row r="20" ht="26" spans="1:5">
      <c r="A20" s="3" t="str">
        <f>指标!A20</f>
        <v>广东省</v>
      </c>
      <c r="B20" s="1">
        <f>指标!C20</f>
        <v>2.86341960746658</v>
      </c>
      <c r="C20" s="1">
        <f>数据!F20*100</f>
        <v>1.69</v>
      </c>
      <c r="D20" s="9">
        <v>110824.5696</v>
      </c>
      <c r="E20" s="14" t="s">
        <v>57</v>
      </c>
    </row>
    <row r="21" ht="26" spans="1:5">
      <c r="A21" s="3" t="str">
        <f>指标!A21</f>
        <v>广西壮族自治区</v>
      </c>
      <c r="B21" s="1">
        <f>指标!C21</f>
        <v>4.2805433970694</v>
      </c>
      <c r="C21" s="1">
        <f>数据!F21*100</f>
        <v>1.39</v>
      </c>
      <c r="D21" s="9">
        <v>57150.20946</v>
      </c>
      <c r="E21" s="14" t="s">
        <v>55</v>
      </c>
    </row>
    <row r="22" ht="26" spans="1:5">
      <c r="A22" s="3" t="str">
        <f>指标!A22</f>
        <v>海南省</v>
      </c>
      <c r="B22" s="1">
        <f>指标!C22</f>
        <v>4.56670489055786</v>
      </c>
      <c r="C22" s="1">
        <f>数据!F22*100</f>
        <v>1.85</v>
      </c>
      <c r="D22" s="9">
        <v>75722.32824</v>
      </c>
      <c r="E22" s="14" t="s">
        <v>55</v>
      </c>
    </row>
    <row r="23" ht="26" spans="1:5">
      <c r="A23" s="3" t="str">
        <f>指标!A23</f>
        <v>重庆市</v>
      </c>
      <c r="B23" s="1">
        <f>指标!C23</f>
        <v>2.66708497446666</v>
      </c>
      <c r="C23" s="1">
        <f>数据!F23*100</f>
        <v>2.68</v>
      </c>
      <c r="D23" s="9">
        <v>100919.1223</v>
      </c>
      <c r="E23" s="14" t="s">
        <v>56</v>
      </c>
    </row>
    <row r="24" ht="26" spans="1:5">
      <c r="A24" s="3" t="str">
        <f>指标!A24</f>
        <v>四川省</v>
      </c>
      <c r="B24" s="1">
        <f>指标!C24</f>
        <v>3.04446883163052</v>
      </c>
      <c r="C24" s="1">
        <f>数据!F24*100</f>
        <v>1.77</v>
      </c>
      <c r="D24" s="9">
        <v>77351.74558</v>
      </c>
      <c r="E24" s="14" t="s">
        <v>57</v>
      </c>
    </row>
    <row r="25" ht="26" spans="1:5">
      <c r="A25" s="3" t="str">
        <f>指标!A25</f>
        <v>贵州省</v>
      </c>
      <c r="B25" s="1">
        <f>指标!C25</f>
        <v>5.33738325590834</v>
      </c>
      <c r="C25" s="1">
        <f>数据!F25*100</f>
        <v>1.53</v>
      </c>
      <c r="D25" s="9">
        <v>58723.05699</v>
      </c>
      <c r="E25" s="14" t="s">
        <v>55</v>
      </c>
    </row>
    <row r="26" ht="26" spans="1:5">
      <c r="A26" s="3" t="str">
        <f>指标!A26</f>
        <v>云南省</v>
      </c>
      <c r="B26" s="1">
        <f>指标!C26</f>
        <v>3.79785692314035</v>
      </c>
      <c r="C26" s="1">
        <f>数据!F26*100</f>
        <v>1.15</v>
      </c>
      <c r="D26" s="9">
        <v>67742.4275</v>
      </c>
      <c r="E26" s="14" t="s">
        <v>55</v>
      </c>
    </row>
    <row r="27" spans="1:5">
      <c r="A27" s="3" t="str">
        <f>指标!A27</f>
        <v>西藏自治区</v>
      </c>
      <c r="B27" s="1">
        <f>指标!C27</f>
        <v>12.0666208542804</v>
      </c>
      <c r="C27" s="1"/>
      <c r="D27" s="9">
        <v>74727.02703</v>
      </c>
      <c r="E27" s="15"/>
    </row>
    <row r="28" ht="26" spans="1:5">
      <c r="A28" s="3" t="str">
        <f>指标!A28</f>
        <v>陕西省</v>
      </c>
      <c r="B28" s="1">
        <f>指标!C28</f>
        <v>3.15019077740385</v>
      </c>
      <c r="C28" s="1">
        <f>数据!F28*100</f>
        <v>2.96</v>
      </c>
      <c r="D28" s="9">
        <v>89903.36453</v>
      </c>
      <c r="E28" s="14" t="s">
        <v>56</v>
      </c>
    </row>
    <row r="29" ht="26" spans="1:5">
      <c r="A29" s="3" t="str">
        <f>指标!A29</f>
        <v>甘肃省</v>
      </c>
      <c r="B29" s="1">
        <f>指标!C29</f>
        <v>5.56706580839659</v>
      </c>
      <c r="C29" s="1">
        <f>数据!F29*100</f>
        <v>2.96</v>
      </c>
      <c r="D29" s="9">
        <v>52900.32547</v>
      </c>
      <c r="E29" s="14" t="s">
        <v>54</v>
      </c>
    </row>
    <row r="30" ht="26" spans="1:5">
      <c r="A30" s="3" t="str">
        <f>指标!A30</f>
        <v>青海省</v>
      </c>
      <c r="B30" s="1">
        <f>指标!C30</f>
        <v>5.87425331578414</v>
      </c>
      <c r="C30" s="1">
        <f>数据!F30*100</f>
        <v>2.62</v>
      </c>
      <c r="D30" s="9">
        <v>66623.94604</v>
      </c>
      <c r="E30" s="14" t="s">
        <v>54</v>
      </c>
    </row>
    <row r="31" ht="26" spans="1:5">
      <c r="A31" s="3" t="str">
        <f>指标!A31</f>
        <v>宁夏回族自治区</v>
      </c>
      <c r="B31" s="1">
        <f>指标!C31</f>
        <v>4.09591480700734</v>
      </c>
      <c r="C31" s="1">
        <f>数据!F31*100</f>
        <v>2.04</v>
      </c>
      <c r="D31" s="9">
        <v>75484.22497</v>
      </c>
      <c r="E31" s="14" t="s">
        <v>55</v>
      </c>
    </row>
    <row r="32" ht="26" spans="1:5">
      <c r="A32" s="3" t="str">
        <f>指标!A32</f>
        <v>新疆维吾尔自治区</v>
      </c>
      <c r="B32" s="1">
        <f>指标!C32</f>
        <v>5.92098022314102</v>
      </c>
      <c r="C32" s="1">
        <f>数据!F32*100</f>
        <v>3.31</v>
      </c>
      <c r="D32" s="9">
        <v>78284.78841</v>
      </c>
      <c r="E32" s="14" t="s">
        <v>54</v>
      </c>
    </row>
    <row r="33" spans="1:6">
      <c r="A33" s="3"/>
      <c r="E33" s="12" t="s">
        <v>77</v>
      </c>
      <c r="F33" s="12" t="s">
        <v>77</v>
      </c>
    </row>
  </sheetData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3"/>
  <sheetViews>
    <sheetView workbookViewId="0">
      <selection activeCell="A5" sqref="A5"/>
    </sheetView>
  </sheetViews>
  <sheetFormatPr defaultColWidth="8.72727272727273" defaultRowHeight="14"/>
  <cols>
    <col min="3" max="4" width="12.8181818181818"/>
    <col min="5" max="6" width="11.7272727272727"/>
    <col min="8" max="9" width="12.8181818181818"/>
  </cols>
  <sheetData>
    <row r="1" spans="1:8">
      <c r="A1" s="6" t="s">
        <v>78</v>
      </c>
      <c r="B1" s="6" t="s">
        <v>0</v>
      </c>
      <c r="C1" s="6" t="s">
        <v>79</v>
      </c>
      <c r="D1" s="6" t="s">
        <v>80</v>
      </c>
      <c r="E1" s="6" t="s">
        <v>81</v>
      </c>
      <c r="F1" s="6" t="s">
        <v>82</v>
      </c>
      <c r="H1" s="1" t="s">
        <v>83</v>
      </c>
    </row>
    <row r="2" spans="1:8">
      <c r="A2" s="7">
        <v>1</v>
      </c>
      <c r="B2" s="8" t="s">
        <v>23</v>
      </c>
      <c r="C2" s="7">
        <v>6.976429152</v>
      </c>
      <c r="D2" s="7">
        <v>1.367545467</v>
      </c>
      <c r="E2" s="9">
        <f>C2</f>
        <v>6.976429152</v>
      </c>
      <c r="F2" s="10">
        <f>D2</f>
        <v>1.367545467</v>
      </c>
      <c r="H2" s="4" cm="1">
        <f t="array" ref="H2">_xlfn.LET(_xlpm.cum_pop,E2:E31,_xlpm.cum_rate,F2:F31,_xlpm.n,ROWS(_xlpm.cum_pop),_xlpm.area,SUM(_xlfn.MAP(_xlfn.SEQUENCE(_xlpm.n-1),_xlfn.LAMBDA(_xlpm.i,(INDEX(_xlpm.cum_pop,_xlpm.i+1)-INDEX(_xlpm.cum_pop,_xlpm.i))*(INDEX(_xlpm.cum_rate,_xlpm.i+1)+INDEX(_xlpm.cum_rate,_xlpm.i))/2))),1-2*_xlpm.area/10000)</f>
        <v>0.441813292102487</v>
      </c>
    </row>
    <row r="3" spans="1:9">
      <c r="A3" s="7">
        <v>2</v>
      </c>
      <c r="B3" s="8" t="s">
        <v>32</v>
      </c>
      <c r="C3" s="7">
        <v>3.318883771</v>
      </c>
      <c r="D3" s="7">
        <v>1.621316791</v>
      </c>
      <c r="E3" s="9">
        <f>E2+C3</f>
        <v>10.295312923</v>
      </c>
      <c r="F3" s="10">
        <f>D3+F2</f>
        <v>2.988862258</v>
      </c>
      <c r="I3" s="1"/>
    </row>
    <row r="4" spans="1:9">
      <c r="A4" s="7">
        <v>3</v>
      </c>
      <c r="B4" s="8" t="s">
        <v>10</v>
      </c>
      <c r="C4" s="7">
        <v>5.260306008</v>
      </c>
      <c r="D4" s="7">
        <v>1.635415198</v>
      </c>
      <c r="E4" s="9">
        <f t="shared" ref="E4:E31" si="0">E3+C4</f>
        <v>15.555618931</v>
      </c>
      <c r="F4" s="10">
        <f t="shared" ref="F4:F31" si="1">D4+F3</f>
        <v>4.624277456</v>
      </c>
      <c r="I4" s="1"/>
    </row>
    <row r="5" spans="1:9">
      <c r="A5" s="7">
        <v>4</v>
      </c>
      <c r="B5" s="8" t="s">
        <v>21</v>
      </c>
      <c r="C5" s="7">
        <v>3.209799085</v>
      </c>
      <c r="D5" s="7">
        <v>1.945580149</v>
      </c>
      <c r="E5" s="9">
        <f t="shared" si="0"/>
        <v>18.765418016</v>
      </c>
      <c r="F5" s="10">
        <f t="shared" si="1"/>
        <v>6.569857605</v>
      </c>
      <c r="I5" s="1"/>
    </row>
    <row r="6" spans="1:9">
      <c r="A6" s="7">
        <v>5</v>
      </c>
      <c r="B6" s="8" t="s">
        <v>19</v>
      </c>
      <c r="C6" s="7">
        <v>4.365526387</v>
      </c>
      <c r="D6" s="7">
        <v>1.959678556</v>
      </c>
      <c r="E6" s="9">
        <f t="shared" si="0"/>
        <v>23.130944403</v>
      </c>
      <c r="F6" s="10">
        <f t="shared" si="1"/>
        <v>8.529536161</v>
      </c>
      <c r="I6" s="1"/>
    </row>
    <row r="7" spans="1:9">
      <c r="A7" s="7">
        <v>6</v>
      </c>
      <c r="B7" s="8" t="s">
        <v>27</v>
      </c>
      <c r="C7" s="7">
        <v>3.574127679</v>
      </c>
      <c r="D7" s="7">
        <v>1.959678556</v>
      </c>
      <c r="E7" s="9">
        <f t="shared" si="0"/>
        <v>26.705072082</v>
      </c>
      <c r="F7" s="10">
        <f t="shared" si="1"/>
        <v>10.489214717</v>
      </c>
      <c r="I7" s="1"/>
    </row>
    <row r="8" spans="1:9">
      <c r="A8" s="7">
        <v>7</v>
      </c>
      <c r="B8" s="8" t="s">
        <v>31</v>
      </c>
      <c r="C8" s="7">
        <v>2.752071183</v>
      </c>
      <c r="D8" s="7">
        <v>2.157056253</v>
      </c>
      <c r="E8" s="9">
        <f t="shared" si="0"/>
        <v>29.457143265</v>
      </c>
      <c r="F8" s="10">
        <f t="shared" si="1"/>
        <v>12.64627097</v>
      </c>
      <c r="I8" s="1"/>
    </row>
    <row r="9" spans="1:9">
      <c r="A9" s="7">
        <v>8</v>
      </c>
      <c r="B9" s="8" t="s">
        <v>25</v>
      </c>
      <c r="C9" s="7">
        <v>4.66212266</v>
      </c>
      <c r="D9" s="7">
        <v>2.382630763</v>
      </c>
      <c r="E9" s="9">
        <f t="shared" si="0"/>
        <v>34.119265925</v>
      </c>
      <c r="F9" s="10">
        <f t="shared" si="1"/>
        <v>15.028901733</v>
      </c>
      <c r="I9" s="1"/>
    </row>
    <row r="10" spans="1:9">
      <c r="A10" s="7">
        <v>9</v>
      </c>
      <c r="B10" s="8" t="s">
        <v>26</v>
      </c>
      <c r="C10" s="7">
        <v>9.11177972</v>
      </c>
      <c r="D10" s="7">
        <v>2.382630763</v>
      </c>
      <c r="E10" s="9">
        <f t="shared" si="0"/>
        <v>43.231045645</v>
      </c>
      <c r="F10" s="10">
        <f t="shared" si="1"/>
        <v>17.411532496</v>
      </c>
      <c r="I10" s="1"/>
    </row>
    <row r="11" spans="1:9">
      <c r="A11" s="7">
        <v>10</v>
      </c>
      <c r="B11" s="8" t="s">
        <v>22</v>
      </c>
      <c r="C11" s="7">
        <v>7.186755836</v>
      </c>
      <c r="D11" s="7">
        <v>2.467221204</v>
      </c>
      <c r="E11" s="9">
        <f t="shared" si="0"/>
        <v>50.417801481</v>
      </c>
      <c r="F11" s="10">
        <f t="shared" si="1"/>
        <v>19.8787537</v>
      </c>
      <c r="I11" s="1"/>
    </row>
    <row r="12" spans="1:9">
      <c r="A12" s="7">
        <v>11</v>
      </c>
      <c r="B12" s="8" t="s">
        <v>30</v>
      </c>
      <c r="C12" s="7">
        <v>5.963296211</v>
      </c>
      <c r="D12" s="7">
        <v>2.495418018</v>
      </c>
      <c r="E12" s="9">
        <f t="shared" si="0"/>
        <v>56.381097692</v>
      </c>
      <c r="F12" s="10">
        <f t="shared" si="1"/>
        <v>22.374171718</v>
      </c>
      <c r="I12" s="1"/>
    </row>
    <row r="13" spans="1:9">
      <c r="A13" s="7">
        <v>12</v>
      </c>
      <c r="B13" s="8" t="s">
        <v>28</v>
      </c>
      <c r="C13" s="7">
        <v>0.747194456</v>
      </c>
      <c r="D13" s="7">
        <v>2.608205273</v>
      </c>
      <c r="E13" s="9">
        <f t="shared" si="0"/>
        <v>57.128292148</v>
      </c>
      <c r="F13" s="10">
        <f t="shared" si="1"/>
        <v>24.982376991</v>
      </c>
      <c r="I13" s="1"/>
    </row>
    <row r="14" spans="1:9">
      <c r="A14" s="7">
        <v>13</v>
      </c>
      <c r="B14" s="8" t="s">
        <v>17</v>
      </c>
      <c r="C14" s="7">
        <v>6.078797644</v>
      </c>
      <c r="D14" s="7">
        <v>2.650500493</v>
      </c>
      <c r="E14" s="9">
        <f t="shared" si="0"/>
        <v>63.207089792</v>
      </c>
      <c r="F14" s="10">
        <f t="shared" si="1"/>
        <v>27.632877484</v>
      </c>
      <c r="I14" s="1"/>
    </row>
    <row r="15" spans="1:9">
      <c r="A15" s="7">
        <v>14</v>
      </c>
      <c r="B15" s="8" t="s">
        <v>11</v>
      </c>
      <c r="C15" s="7">
        <v>2.456900854</v>
      </c>
      <c r="D15" s="7">
        <v>2.678697307</v>
      </c>
      <c r="E15" s="9">
        <f t="shared" si="0"/>
        <v>65.663990646</v>
      </c>
      <c r="F15" s="10">
        <f t="shared" si="1"/>
        <v>30.311574791</v>
      </c>
      <c r="I15" s="1"/>
    </row>
    <row r="16" spans="1:9">
      <c r="A16" s="7">
        <v>15</v>
      </c>
      <c r="B16" s="8" t="s">
        <v>38</v>
      </c>
      <c r="C16" s="7">
        <v>0.519756449</v>
      </c>
      <c r="D16" s="7">
        <v>2.876075004</v>
      </c>
      <c r="E16" s="9">
        <f t="shared" si="0"/>
        <v>66.183747095</v>
      </c>
      <c r="F16" s="10">
        <f t="shared" si="1"/>
        <v>33.187649795</v>
      </c>
      <c r="I16" s="1"/>
    </row>
    <row r="17" spans="1:9">
      <c r="A17" s="7">
        <v>16</v>
      </c>
      <c r="B17" s="8" t="s">
        <v>18</v>
      </c>
      <c r="C17" s="7">
        <v>4.755521967</v>
      </c>
      <c r="D17" s="7">
        <v>3.186239955</v>
      </c>
      <c r="E17" s="9">
        <f t="shared" si="0"/>
        <v>70.939269062</v>
      </c>
      <c r="F17" s="10">
        <f t="shared" si="1"/>
        <v>36.37388975</v>
      </c>
      <c r="I17" s="1"/>
    </row>
    <row r="18" spans="1:9">
      <c r="A18" s="7">
        <v>17</v>
      </c>
      <c r="B18" s="8" t="s">
        <v>24</v>
      </c>
      <c r="C18" s="7">
        <v>4.159477534</v>
      </c>
      <c r="D18" s="7">
        <v>3.214436769</v>
      </c>
      <c r="E18" s="9">
        <f t="shared" si="0"/>
        <v>75.098746596</v>
      </c>
      <c r="F18" s="10">
        <f t="shared" si="1"/>
        <v>39.588326519</v>
      </c>
      <c r="I18" s="1"/>
    </row>
    <row r="19" spans="1:6">
      <c r="A19" s="7">
        <v>18</v>
      </c>
      <c r="B19" s="8" t="s">
        <v>20</v>
      </c>
      <c r="C19" s="7">
        <v>2.989490796</v>
      </c>
      <c r="D19" s="7">
        <v>3.284928803</v>
      </c>
      <c r="E19" s="9">
        <f t="shared" si="0"/>
        <v>78.088237392</v>
      </c>
      <c r="F19" s="10">
        <f t="shared" si="1"/>
        <v>42.873255322</v>
      </c>
    </row>
    <row r="20" spans="1:6">
      <c r="A20" s="7">
        <v>19</v>
      </c>
      <c r="B20" s="8" t="s">
        <v>15</v>
      </c>
      <c r="C20" s="7">
        <v>2.15959161</v>
      </c>
      <c r="D20" s="7">
        <v>3.468208092</v>
      </c>
      <c r="E20" s="9">
        <f t="shared" si="0"/>
        <v>80.247829002</v>
      </c>
      <c r="F20" s="10">
        <f t="shared" si="1"/>
        <v>46.341463414</v>
      </c>
    </row>
    <row r="21" spans="1:6">
      <c r="A21" s="7">
        <v>20</v>
      </c>
      <c r="B21" s="8" t="s">
        <v>37</v>
      </c>
      <c r="C21" s="7">
        <v>0.422792283</v>
      </c>
      <c r="D21" s="7">
        <v>3.693782603</v>
      </c>
      <c r="E21" s="9">
        <f t="shared" si="0"/>
        <v>80.670621285</v>
      </c>
      <c r="F21" s="10">
        <f t="shared" si="1"/>
        <v>50.035246017</v>
      </c>
    </row>
    <row r="22" spans="1:6">
      <c r="A22" s="7">
        <v>21</v>
      </c>
      <c r="B22" s="8" t="s">
        <v>12</v>
      </c>
      <c r="C22" s="7">
        <v>1.70257668</v>
      </c>
      <c r="D22" s="7">
        <v>3.721979416</v>
      </c>
      <c r="E22" s="9">
        <f t="shared" si="0"/>
        <v>82.373197965</v>
      </c>
      <c r="F22" s="10">
        <f t="shared" si="1"/>
        <v>53.757225433</v>
      </c>
    </row>
    <row r="23" spans="1:6">
      <c r="A23" s="7">
        <v>22</v>
      </c>
      <c r="B23" s="8" t="s">
        <v>29</v>
      </c>
      <c r="C23" s="7">
        <v>2.274380071</v>
      </c>
      <c r="D23" s="7">
        <v>3.778373044</v>
      </c>
      <c r="E23" s="9">
        <f t="shared" si="0"/>
        <v>84.647578036</v>
      </c>
      <c r="F23" s="10">
        <f t="shared" si="1"/>
        <v>57.535598477</v>
      </c>
    </row>
    <row r="24" spans="1:6">
      <c r="A24" s="7">
        <v>23</v>
      </c>
      <c r="B24" s="8" t="s">
        <v>35</v>
      </c>
      <c r="C24" s="7">
        <v>2.818377561</v>
      </c>
      <c r="D24" s="7">
        <v>4.173128436</v>
      </c>
      <c r="E24" s="9">
        <f t="shared" si="0"/>
        <v>87.465955597</v>
      </c>
      <c r="F24" s="10">
        <f t="shared" si="1"/>
        <v>61.708726913</v>
      </c>
    </row>
    <row r="25" spans="1:6">
      <c r="A25" s="7">
        <v>24</v>
      </c>
      <c r="B25" s="8" t="s">
        <v>36</v>
      </c>
      <c r="C25" s="7">
        <v>1.752484707</v>
      </c>
      <c r="D25" s="7">
        <v>4.173128436</v>
      </c>
      <c r="E25" s="9">
        <f t="shared" si="0"/>
        <v>89.218440304</v>
      </c>
      <c r="F25" s="10">
        <f t="shared" si="1"/>
        <v>65.881855349</v>
      </c>
    </row>
    <row r="26" spans="1:6">
      <c r="A26" s="7">
        <v>25</v>
      </c>
      <c r="B26" s="8" t="s">
        <v>13</v>
      </c>
      <c r="C26" s="7">
        <v>2.962397867</v>
      </c>
      <c r="D26" s="7">
        <v>4.370506133</v>
      </c>
      <c r="E26" s="9">
        <f t="shared" si="0"/>
        <v>92.180838171</v>
      </c>
      <c r="F26" s="10">
        <f t="shared" si="1"/>
        <v>70.252361482</v>
      </c>
    </row>
    <row r="27" spans="1:6">
      <c r="A27" s="7">
        <v>26</v>
      </c>
      <c r="B27" s="8" t="s">
        <v>39</v>
      </c>
      <c r="C27" s="7">
        <v>1.870125055</v>
      </c>
      <c r="D27" s="7">
        <v>4.666572677</v>
      </c>
      <c r="E27" s="9">
        <f t="shared" si="0"/>
        <v>94.050963226</v>
      </c>
      <c r="F27" s="10">
        <f t="shared" si="1"/>
        <v>74.918934159</v>
      </c>
    </row>
    <row r="28" spans="1:6">
      <c r="A28" s="7">
        <v>27</v>
      </c>
      <c r="B28" s="8" t="s">
        <v>16</v>
      </c>
      <c r="C28" s="7">
        <v>1.768170087</v>
      </c>
      <c r="D28" s="7">
        <v>5.117721697</v>
      </c>
      <c r="E28" s="9">
        <f t="shared" si="0"/>
        <v>95.819133313</v>
      </c>
      <c r="F28" s="10">
        <f t="shared" si="1"/>
        <v>80.036655856</v>
      </c>
    </row>
    <row r="29" spans="1:6">
      <c r="A29" s="7">
        <v>28</v>
      </c>
      <c r="B29" s="8" t="s">
        <v>9</v>
      </c>
      <c r="C29" s="7">
        <v>0.972493548</v>
      </c>
      <c r="D29" s="7">
        <v>5.51247709</v>
      </c>
      <c r="E29" s="9">
        <f t="shared" si="0"/>
        <v>96.791626861</v>
      </c>
      <c r="F29" s="10">
        <f t="shared" si="1"/>
        <v>85.549132946</v>
      </c>
    </row>
    <row r="30" spans="1:6">
      <c r="A30" s="7">
        <v>29</v>
      </c>
      <c r="B30" s="8" t="s">
        <v>14</v>
      </c>
      <c r="C30" s="7">
        <v>1.651955682</v>
      </c>
      <c r="D30" s="7">
        <v>6.626251234</v>
      </c>
      <c r="E30" s="9">
        <f t="shared" si="0"/>
        <v>98.443582543</v>
      </c>
      <c r="F30" s="10">
        <f t="shared" si="1"/>
        <v>92.17538418</v>
      </c>
    </row>
    <row r="31" spans="1:6">
      <c r="A31" s="7">
        <v>30</v>
      </c>
      <c r="B31" s="8" t="s">
        <v>8</v>
      </c>
      <c r="C31" s="7">
        <v>1.556417459</v>
      </c>
      <c r="D31" s="7">
        <v>7.824615818</v>
      </c>
      <c r="E31" s="9">
        <f t="shared" si="0"/>
        <v>100.000000002</v>
      </c>
      <c r="F31" s="10">
        <f t="shared" si="1"/>
        <v>99.999999998</v>
      </c>
    </row>
    <row r="32" spans="1:6">
      <c r="A32" s="11"/>
      <c r="B32" s="11"/>
      <c r="C32" s="11"/>
      <c r="D32" s="11"/>
      <c r="E32" s="7">
        <v>0</v>
      </c>
      <c r="F32" s="7">
        <v>0</v>
      </c>
    </row>
    <row r="33" spans="1:1">
      <c r="A33" s="12" t="s">
        <v>77</v>
      </c>
    </row>
  </sheetData>
  <sortState ref="A2:F31">
    <sortCondition ref="D2:D31"/>
  </sortState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7"/>
  <sheetViews>
    <sheetView workbookViewId="0">
      <selection activeCell="B7" sqref="B7"/>
    </sheetView>
  </sheetViews>
  <sheetFormatPr defaultColWidth="8.72727272727273" defaultRowHeight="14" outlineLevelCol="1"/>
  <cols>
    <col min="1" max="1" width="33.7272727272727" customWidth="1"/>
    <col min="2" max="2" width="23.3636363636364" customWidth="1"/>
  </cols>
  <sheetData>
    <row r="1" spans="1:1">
      <c r="A1" s="1" t="s">
        <v>84</v>
      </c>
    </row>
    <row r="3" spans="1:1">
      <c r="A3" s="2" t="s">
        <v>85</v>
      </c>
    </row>
    <row r="4" spans="1:2">
      <c r="A4" s="3" t="s">
        <v>86</v>
      </c>
      <c r="B4" s="3" t="str" cm="1">
        <f t="array" ref="B4">INDEX(指标!A:A,MATCH(MAX(指标!F:F),指标!F:F,0))</f>
        <v>北京市</v>
      </c>
    </row>
    <row r="5" spans="1:2">
      <c r="A5" s="3" t="s">
        <v>87</v>
      </c>
      <c r="B5" s="3" t="str" cm="1">
        <f t="array" ref="B5">INDEX(指标!A:A,MATCH(MIN(指标!G:G),指标!G:G,0))</f>
        <v>河南省</v>
      </c>
    </row>
    <row r="6" spans="1:2">
      <c r="A6" s="3" t="s">
        <v>88</v>
      </c>
      <c r="B6" s="3" t="str" cm="1">
        <f t="array" ref="B6">INDEX(指标!A:A,MATCH(MAX(指标!E:E),指标!E:E,0))</f>
        <v>河南省</v>
      </c>
    </row>
    <row r="7" spans="1:2">
      <c r="A7" s="3" t="s">
        <v>89</v>
      </c>
      <c r="B7" s="3" t="str">
        <f>TEXT(计算!B10,"0.000")</f>
        <v>r=0.5189</v>
      </c>
    </row>
    <row r="8" spans="1:2">
      <c r="A8" s="3" t="s">
        <v>90</v>
      </c>
      <c r="B8" s="4" t="str">
        <f>TEXT(公平性!H2,"0.000")</f>
        <v>0.442</v>
      </c>
    </row>
    <row r="9" spans="1:1">
      <c r="A9" s="5"/>
    </row>
    <row r="12" spans="1:1">
      <c r="A12" s="5"/>
    </row>
    <row r="15" spans="1:1">
      <c r="A15" s="5"/>
    </row>
    <row r="17" spans="1:1">
      <c r="A17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数据</vt:lpstr>
      <vt:lpstr>指标</vt:lpstr>
      <vt:lpstr>计算</vt:lpstr>
      <vt:lpstr>效率</vt:lpstr>
      <vt:lpstr>公平性</vt:lpstr>
      <vt:lpstr>报告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尚金朝</dc:creator>
  <cp:lastModifiedBy>WPS_1720538958</cp:lastModifiedBy>
  <dcterms:created xsi:type="dcterms:W3CDTF">2023-05-12T11:15:00Z</dcterms:created>
  <dcterms:modified xsi:type="dcterms:W3CDTF">2026-01-06T15:35:07Z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7A418805C81D4581978F0BA948CA7A4D_12</vt:lpwstr>
  </property>
</Properties>
</file>