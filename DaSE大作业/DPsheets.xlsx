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数据" sheetId="1" r:id="rId1"/>
    <sheet name="指标" sheetId="2" r:id="rId2"/>
    <sheet name="计算" sheetId="3" r:id="rId3"/>
    <sheet name="效率" sheetId="4" r:id="rId4"/>
    <sheet name="公平性" sheetId="5" r:id="rId5"/>
    <sheet name="报告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<sst xmlns="http://schemas.openxmlformats.org/spreadsheetml/2006/main" count="131" uniqueCount="89">
  <si>
    <t>省份</t>
  </si>
  <si>
    <t>2024GDP_亿元</t>
  </si>
  <si>
    <t>2024人口_万人</t>
  </si>
  <si>
    <t>2024教育经费_万元</t>
  </si>
  <si>
    <t>2024出生率_‰</t>
  </si>
  <si>
    <t>985录取率</t>
  </si>
  <si>
    <t>211录取率</t>
  </si>
  <si>
    <t>双一流录取率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</si>
  <si>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</si>
  <si>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</si>
  <si>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</si>
  <si>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</si>
  <si>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</si>
  <si>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</si>
  <si>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</si>
  <si>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</si>
  <si>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</si>
  <si>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</si>
  <si>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</si>
  <si>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</si>
  <si>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</si>
  <si>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</si>
  <si>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</si>
  <si>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</si>
  <si>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</si>
  <si>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</si>
  <si>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</si>
  <si>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</si>
  <si>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</si>
  <si>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</si>
  <si>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</si>
  <si>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</si>
  <si>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</si>
  <si>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</si>
  <si>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-</t>
  </si>
  <si>
    <t>陕西省</t>
  </si>
  <si>
    <t>甘肃省</t>
  </si>
  <si>
    <t>青海省</t>
  </si>
  <si>
    <t>宁夏回族自治区</t>
  </si>
  <si>
    <t>新疆维吾尔自治区</t>
  </si>
  <si>
    <r>
      <rPr>
        <sz val="10"/>
        <color rgb="FF0F1115"/>
        <rFont val="宋体"/>
        <charset val="134"/>
      </rPr>
      <t>人均</t>
    </r>
    <r>
      <rPr>
        <sz val="10"/>
        <color rgb="FF0F1115"/>
        <rFont val="Consolas"/>
        <charset val="134"/>
      </rPr>
      <t>GDP_</t>
    </r>
    <r>
      <rPr>
        <sz val="10"/>
        <color rgb="FF0F1115"/>
        <rFont val="宋体"/>
        <charset val="134"/>
      </rPr>
      <t>元</t>
    </r>
  </si>
  <si>
    <r>
      <rPr>
        <sz val="10"/>
        <color rgb="FF0F1115"/>
        <rFont val="宋体"/>
        <charset val="134"/>
      </rPr>
      <t>教育投入强度</t>
    </r>
    <r>
      <rPr>
        <sz val="10"/>
        <color rgb="FF0F1115"/>
        <rFont val="Consolas"/>
        <charset val="134"/>
      </rPr>
      <t>_%</t>
    </r>
  </si>
  <si>
    <r>
      <rPr>
        <sz val="10"/>
        <color rgb="FF0F1115"/>
        <rFont val="宋体"/>
        <charset val="134"/>
      </rPr>
      <t>人均教育经费</t>
    </r>
    <r>
      <rPr>
        <sz val="10"/>
        <color rgb="FF0F1115"/>
        <rFont val="Consolas"/>
        <charset val="134"/>
      </rPr>
      <t>_</t>
    </r>
    <r>
      <rPr>
        <sz val="10"/>
        <color rgb="FF0F1115"/>
        <rFont val="宋体"/>
        <charset val="134"/>
      </rPr>
      <t>元</t>
    </r>
  </si>
  <si>
    <t>人口压力指数</t>
  </si>
  <si>
    <t>效率比值</t>
  </si>
  <si>
    <t>公平系数</t>
  </si>
  <si>
    <r>
      <rPr>
        <sz val="10"/>
        <color rgb="FF0F1115"/>
        <rFont val="Consolas"/>
        <charset val="134"/>
      </rPr>
      <t>985</t>
    </r>
    <r>
      <rPr>
        <sz val="10"/>
        <color rgb="FF0F1115"/>
        <rFont val="宋体"/>
        <charset val="134"/>
      </rPr>
      <t>排名</t>
    </r>
  </si>
  <si>
    <t>关键指标</t>
  </si>
  <si>
    <t>数值</t>
  </si>
  <si>
    <t>说明</t>
  </si>
  <si>
    <t>985录取率排名TOP5</t>
  </si>
  <si>
    <t>录取率</t>
  </si>
  <si>
    <t>教育投入强度</t>
  </si>
  <si>
    <t>省份分类（按投入产出）</t>
  </si>
  <si>
    <t>高投入高产出</t>
  </si>
  <si>
    <t>高投入低产出</t>
  </si>
  <si>
    <t>低投入高产出</t>
  </si>
  <si>
    <t>低投入低产出</t>
  </si>
  <si>
    <t>全国平均985录取率</t>
  </si>
  <si>
    <t>第1名</t>
  </si>
  <si>
    <t>分类标准</t>
  </si>
  <si>
    <t>最高985录取率（省份）</t>
  </si>
  <si>
    <t>第2名</t>
  </si>
  <si>
    <t>最低985录取率（省份）</t>
  </si>
  <si>
    <t>第3名</t>
  </si>
  <si>
    <t>平均教育投入强度</t>
  </si>
  <si>
    <t>第4名</t>
  </si>
  <si>
    <t>最高效率比值（省份）</t>
  </si>
  <si>
    <t>第5名</t>
  </si>
  <si>
    <t>最大人口压力（省份）</t>
  </si>
  <si>
    <t>第6名</t>
  </si>
  <si>
    <t>教育投入强度标准差</t>
  </si>
  <si>
    <t>985录取率标准差</t>
  </si>
  <si>
    <t>相关系数（GDP vs 985录取率）</t>
  </si>
  <si>
    <r>
      <rPr>
        <sz val="10"/>
        <color rgb="FF0F1115"/>
        <rFont val="Consolas"/>
        <charset val="134"/>
      </rPr>
      <t>985</t>
    </r>
    <r>
      <rPr>
        <sz val="10"/>
        <color rgb="FF0F1115"/>
        <rFont val="宋体"/>
        <charset val="134"/>
      </rPr>
      <t>录取率</t>
    </r>
    <r>
      <rPr>
        <sz val="10"/>
        <color rgb="FF0F1115"/>
        <rFont val="Consolas"/>
        <charset val="134"/>
      </rPr>
      <t>_%</t>
    </r>
  </si>
  <si>
    <t>分类</t>
  </si>
  <si>
    <t>序号</t>
  </si>
  <si>
    <t>人口占比_%</t>
  </si>
  <si>
    <t>985录取率占比_%</t>
  </si>
  <si>
    <t>累计人口%</t>
  </si>
  <si>
    <t>累计985录取率%</t>
  </si>
  <si>
    <t>基尼系数计算</t>
  </si>
  <si>
    <t>数据分析报告摘要</t>
  </si>
  <si>
    <t>一、核心发现</t>
  </si>
  <si>
    <r>
      <rPr>
        <sz val="10"/>
        <color rgb="FF0F1115"/>
        <rFont val="Consolas"/>
        <charset val="134"/>
      </rPr>
      <t xml:space="preserve">1. </t>
    </r>
    <r>
      <rPr>
        <sz val="10"/>
        <color rgb="FF0F1115"/>
        <rFont val="宋体"/>
        <charset val="134"/>
      </rPr>
      <t>教育投入效率最高的省份是：</t>
    </r>
  </si>
  <si>
    <r>
      <rPr>
        <sz val="10"/>
        <color rgb="FF0F1115"/>
        <rFont val="Consolas"/>
        <charset val="134"/>
      </rPr>
      <t xml:space="preserve">2. </t>
    </r>
    <r>
      <rPr>
        <sz val="10"/>
        <color rgb="FF0F1115"/>
        <rFont val="宋体"/>
        <charset val="134"/>
      </rPr>
      <t>教育机会最不公平的省份是：</t>
    </r>
  </si>
  <si>
    <r>
      <rPr>
        <sz val="10"/>
        <color rgb="FF0F1115"/>
        <rFont val="Consolas"/>
        <charset val="134"/>
      </rPr>
      <t xml:space="preserve">3. </t>
    </r>
    <r>
      <rPr>
        <sz val="10"/>
        <color rgb="FF0F1115"/>
        <rFont val="宋体"/>
        <charset val="134"/>
      </rPr>
      <t>人口升学压力最大的省份是：</t>
    </r>
  </si>
  <si>
    <r>
      <rPr>
        <sz val="10"/>
        <color rgb="FF0F1115"/>
        <rFont val="Consolas"/>
        <charset val="134"/>
      </rPr>
      <t>4. 985</t>
    </r>
    <r>
      <rPr>
        <sz val="10"/>
        <color rgb="FF0F1115"/>
        <rFont val="宋体"/>
        <charset val="134"/>
      </rPr>
      <t>录取率与人均</t>
    </r>
    <r>
      <rPr>
        <sz val="10"/>
        <color rgb="FF0F1115"/>
        <rFont val="Consolas"/>
        <charset val="134"/>
      </rPr>
      <t>GDP</t>
    </r>
    <r>
      <rPr>
        <sz val="10"/>
        <color rgb="FF0F1115"/>
        <rFont val="宋体"/>
        <charset val="134"/>
      </rPr>
      <t>的相关系数为：</t>
    </r>
  </si>
  <si>
    <r>
      <rPr>
        <sz val="10"/>
        <color rgb="FF0F1115"/>
        <rFont val="Consolas"/>
        <charset val="134"/>
      </rPr>
      <t xml:space="preserve">5. </t>
    </r>
    <r>
      <rPr>
        <sz val="10"/>
        <color rgb="FF0F1115"/>
        <rFont val="宋体"/>
        <charset val="134"/>
      </rPr>
      <t>教育机会基尼系数为：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</si>
</sst>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sz val="10"/>
      <color rgb="FF0F1115"/>
      <name val="宋体"/>
      <charset val="134"/>
    </font>
    <font>
      <sz val="10"/>
      <color rgb="FF0F1115"/>
      <name val="Consolas"/>
      <charset val="134"/>
    </font>
    <font>
      <sz val="10"/>
      <name val="Arial"/>
      <charset val="0"/>
    </font>
    <font>
      <sz val="10"/>
      <name val="宋体"/>
      <charset val="134"/>
    </font>
    <font>
      <sz val="11"/>
      <color rgb="FF666666"/>
      <name val="微软雅黑"/>
      <charset val="0"/>
    </font>
    <font>
      <sz val="11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4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5" borderId="5">
      <alignment vertical="center"/>
    </xf>
    <xf numFmtId="0" fontId="17" fillId="6" borderId="6">
      <alignment vertical="center"/>
    </xf>
    <xf numFmtId="0" fontId="18" fillId="6" borderId="5">
      <alignment vertical="center"/>
    </xf>
    <xf numFmtId="0" fontId="19" fillId="7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10" fontId="6" fillId="2" borderId="1" xfId="0" applyNumberFormat="1" applyFont="1" applyFill="1" applyBorder="1" applyAlignment="1">
      <alignment horizontal="left" wrapText="1"/>
    </xf>
    <xf numFmtId="10" fontId="6" fillId="3" borderId="1" xfId="0" applyNumberFormat="1" applyFont="1" applyFill="1" applyBorder="1" applyAlignment="1">
      <alignment horizontal="left" wrapText="1"/>
    </xf>
    <xf numFmtId="0" fontId="7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altLang="en-US"/>
              <a:t>教育经费占比与</a:t>
            </a:r>
            <a:r>
              <a:rPr lang="en-US" altLang="zh-CN"/>
              <a:t>985</a:t>
            </a:r>
            <a:r>
              <a:rPr altLang="en-US"/>
              <a:t>录取率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75048198520504"/>
          <c:y val="0.0733271848916299"/>
          <c:w val="0.964334705075446"/>
          <c:h val="0.878638316624435"/>
        </c:manualLayout>
      </c:layout>
      <c:scatterChart>
        <c:scatterStyle val="marker"/>
        <c:varyColors val="0"/>
        <c:ser>
          <c:idx val="0"/>
          <c:order val="0"/>
          <c:tx>
            <c:strRef>
              <c:f>"效率!$A$1"</c:f>
              <c:strCache>
                <c:ptCount val="1"/>
                <c:pt idx="0">
                  <c:v>效率!$A$1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>
                <c:manualLayout>
                  <c:x val="0.0138102472034249"/>
                  <c:y val="0.00829273349227739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6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微软雅黑" panose="020B0503020204020204" pitchFamily="34" charset="-122"/>
                        <a:ea typeface="微软雅黑" panose="020B0503020204020204" pitchFamily="34" charset="-122"/>
                        <a:cs typeface="微软雅黑" panose="020B0503020204020204" pitchFamily="34" charset="-122"/>
                        <a:sym typeface="微软雅黑" panose="020B0503020204020204" pitchFamily="34" charset="-122"/>
                      </a:defRPr>
                    </a:pPr>
                    <a:r>
                      <a:t>吉林省</a:t>
                    </a: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微软雅黑" panose="020B0503020204020204" pitchFamily="34" charset="-122"/>
                      <a:sym typeface="微软雅黑" panose="020B0503020204020204" pitchFamily="34" charset="-122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7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>
                <c:manualLayout>
                  <c:x val="0.0339732081204254"/>
                  <c:y val="0.0361770498600601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2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>
                <c:manualLayout>
                  <c:x val="0.000690512360171247"/>
                  <c:y val="0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5"/>
              <c:layout>
                <c:manualLayout>
                  <c:x val="0.000828614832205496"/>
                  <c:y val="0.00829273349227739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6"/>
              <c:layout>
                <c:manualLayout>
                  <c:x val="0.0154269972451791"/>
                  <c:y val="0.0558670820353063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7"/>
              <c:layout>
                <c:manualLayout>
                  <c:x val="0.034318464300511"/>
                  <c:y val="0.0373173007152483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8"/>
              <c:layout>
                <c:manualLayout>
                  <c:x val="-0.0244441375500621"/>
                  <c:y val="0.0669638229501399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9"/>
              <c:layout>
                <c:manualLayout>
                  <c:x val="0.0690512360171247"/>
                  <c:y val="0.0343111848242977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0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>
                <c:manualLayout>
                  <c:x val="-0.0165722966441099"/>
                  <c:y val="-0.00238416087902975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2"/>
              <c:layout>
                <c:manualLayout>
                  <c:x val="0.0406711780140864"/>
                  <c:y val="0.0153415569607132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3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>
                <c:manualLayout>
                  <c:x val="0.00117387101229112"/>
                  <c:y val="0.0591893853011299"/>
                </c:manualLayout>
              </c:layout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5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6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7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8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9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0"/>
              <c:layout/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效率!$B$2:$B$32</c:f>
              <c:numCache>
                <c:formatCode>General</c:formatCode>
                <c:ptCount val="31"/>
                <c:pt idx="0">
                  <c:v>2.5021517521984</c:v>
                </c:pt>
                <c:pt idx="1">
                  <c:v>2.77414379476595</c:v>
                </c:pt>
                <c:pt idx="2">
                  <c:v>3.84801028470193</c:v>
                </c:pt>
                <c:pt idx="3">
                  <c:v>3.6168301647009</c:v>
                </c:pt>
                <c:pt idx="4">
                  <c:v>2.97800460580818</c:v>
                </c:pt>
                <c:pt idx="5">
                  <c:v>2.27184501743186</c:v>
                </c:pt>
                <c:pt idx="6">
                  <c:v>3.75574464529426</c:v>
                </c:pt>
                <c:pt idx="7">
                  <c:v>3.73917423787241</c:v>
                </c:pt>
                <c:pt idx="8">
                  <c:v>2.28801317343728</c:v>
                </c:pt>
                <c:pt idx="9">
                  <c:v>2.0129481490132</c:v>
                </c:pt>
                <c:pt idx="10">
                  <c:v>2.74581551659481</c:v>
                </c:pt>
                <c:pt idx="11">
                  <c:v>3.07886191066899</c:v>
                </c:pt>
                <c:pt idx="12">
                  <c:v>2.22889146656048</c:v>
                </c:pt>
                <c:pt idx="13">
                  <c:v>4.07405891382209</c:v>
                </c:pt>
                <c:pt idx="14">
                  <c:v>2.78873605246444</c:v>
                </c:pt>
                <c:pt idx="15">
                  <c:v>3.23896839125649</c:v>
                </c:pt>
                <c:pt idx="16">
                  <c:v>2.31624814623498</c:v>
                </c:pt>
                <c:pt idx="17">
                  <c:v>3.00841614848491</c:v>
                </c:pt>
                <c:pt idx="18">
                  <c:v>2.86341960746658</c:v>
                </c:pt>
                <c:pt idx="19">
                  <c:v>4.2805433970694</c:v>
                </c:pt>
                <c:pt idx="20">
                  <c:v>4.56670489055786</c:v>
                </c:pt>
                <c:pt idx="21">
                  <c:v>2.66708497446666</c:v>
                </c:pt>
                <c:pt idx="22">
                  <c:v>3.04446883163052</c:v>
                </c:pt>
                <c:pt idx="23">
                  <c:v>5.33738325590834</c:v>
                </c:pt>
                <c:pt idx="24">
                  <c:v>3.79785692314035</c:v>
                </c:pt>
                <c:pt idx="25">
                  <c:v>12.0666208542804</c:v>
                </c:pt>
                <c:pt idx="26">
                  <c:v>3.15019077740385</c:v>
                </c:pt>
                <c:pt idx="27">
                  <c:v>5.56706580839659</c:v>
                </c:pt>
                <c:pt idx="28">
                  <c:v>5.87425331578414</c:v>
                </c:pt>
                <c:pt idx="29">
                  <c:v>4.09591480700734</c:v>
                </c:pt>
                <c:pt idx="30">
                  <c:v>5.92098022314102</c:v>
                </c:pt>
              </c:numCache>
            </c:numRef>
          </c:xVal>
          <c:yVal>
            <c:numRef>
              <c:f>效率!$C$2:$C$32</c:f>
              <c:numCache>
                <c:formatCode>General</c:formatCode>
                <c:ptCount val="31"/>
                <c:pt idx="0">
                  <c:v>5.55</c:v>
                </c:pt>
                <c:pt idx="1">
                  <c:v>3.91</c:v>
                </c:pt>
                <c:pt idx="2">
                  <c:v>1.16</c:v>
                </c:pt>
                <c:pt idx="3">
                  <c:v>1.9</c:v>
                </c:pt>
                <c:pt idx="4">
                  <c:v>2.64</c:v>
                </c:pt>
                <c:pt idx="5">
                  <c:v>3.1</c:v>
                </c:pt>
                <c:pt idx="6">
                  <c:v>4.7</c:v>
                </c:pt>
                <c:pt idx="7">
                  <c:v>2.46</c:v>
                </c:pt>
                <c:pt idx="8">
                  <c:v>3.63</c:v>
                </c:pt>
                <c:pt idx="9">
                  <c:v>1.88</c:v>
                </c:pt>
                <c:pt idx="10">
                  <c:v>2.26</c:v>
                </c:pt>
                <c:pt idx="11">
                  <c:v>1.39</c:v>
                </c:pt>
                <c:pt idx="12">
                  <c:v>2.33</c:v>
                </c:pt>
                <c:pt idx="13">
                  <c:v>1.38</c:v>
                </c:pt>
                <c:pt idx="14">
                  <c:v>1.75</c:v>
                </c:pt>
                <c:pt idx="15">
                  <c:v>0.97</c:v>
                </c:pt>
                <c:pt idx="16">
                  <c:v>2.28</c:v>
                </c:pt>
                <c:pt idx="17">
                  <c:v>1.69</c:v>
                </c:pt>
                <c:pt idx="18">
                  <c:v>1.69</c:v>
                </c:pt>
                <c:pt idx="19">
                  <c:v>1.39</c:v>
                </c:pt>
                <c:pt idx="20">
                  <c:v>1.85</c:v>
                </c:pt>
                <c:pt idx="21">
                  <c:v>2.68</c:v>
                </c:pt>
                <c:pt idx="22">
                  <c:v>1.77</c:v>
                </c:pt>
                <c:pt idx="23">
                  <c:v>1.53</c:v>
                </c:pt>
                <c:pt idx="24">
                  <c:v>1.15</c:v>
                </c:pt>
                <c:pt idx="26">
                  <c:v>2.96</c:v>
                </c:pt>
                <c:pt idx="27">
                  <c:v>2.96</c:v>
                </c:pt>
                <c:pt idx="28">
                  <c:v>2.62</c:v>
                </c:pt>
                <c:pt idx="29">
                  <c:v>2.04</c:v>
                </c:pt>
                <c:pt idx="30">
                  <c:v>3.31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效率!$A$2:$A$32</c15:f>
                <c15:dlblRangeCache>
                  <c:ptCount val="31"/>
                  <c:pt idx="0">
                    <c:v>北京市</c:v>
                  </c:pt>
                  <c:pt idx="1">
                    <c:v>天津市</c:v>
                  </c:pt>
                  <c:pt idx="2">
                    <c:v>河北省</c:v>
                  </c:pt>
                  <c:pt idx="3">
                    <c:v>山西省</c:v>
                  </c:pt>
                  <c:pt idx="4">
                    <c:v>内蒙古自治区</c:v>
                  </c:pt>
                  <c:pt idx="5">
                    <c:v>辽宁省</c:v>
                  </c:pt>
                  <c:pt idx="6">
                    <c:v>吉林省</c:v>
                  </c:pt>
                  <c:pt idx="7">
                    <c:v>黑龙江省</c:v>
                  </c:pt>
                  <c:pt idx="8">
                    <c:v>上海市</c:v>
                  </c:pt>
                  <c:pt idx="9">
                    <c:v>江苏省</c:v>
                  </c:pt>
                  <c:pt idx="10">
                    <c:v>浙江省</c:v>
                  </c:pt>
                  <c:pt idx="11">
                    <c:v>安徽省</c:v>
                  </c:pt>
                  <c:pt idx="12">
                    <c:v>福建省</c:v>
                  </c:pt>
                  <c:pt idx="13">
                    <c:v>江西省</c:v>
                  </c:pt>
                  <c:pt idx="14">
                    <c:v>山东省</c:v>
                  </c:pt>
                  <c:pt idx="15">
                    <c:v>河南省</c:v>
                  </c:pt>
                  <c:pt idx="16">
                    <c:v>湖北省</c:v>
                  </c:pt>
                  <c:pt idx="17">
                    <c:v>湖南省</c:v>
                  </c:pt>
                  <c:pt idx="18">
                    <c:v>广东省</c:v>
                  </c:pt>
                  <c:pt idx="19">
                    <c:v>广西壮族自治区</c:v>
                  </c:pt>
                  <c:pt idx="20">
                    <c:v>海南省</c:v>
                  </c:pt>
                  <c:pt idx="21">
                    <c:v>重庆市</c:v>
                  </c:pt>
                  <c:pt idx="22">
                    <c:v>四川省</c:v>
                  </c:pt>
                  <c:pt idx="23">
                    <c:v>贵州省</c:v>
                  </c:pt>
                  <c:pt idx="24">
                    <c:v>云南省</c:v>
                  </c:pt>
                  <c:pt idx="25">
                    <c:v>西藏自治区</c:v>
                  </c:pt>
                  <c:pt idx="26">
                    <c:v>陕西省</c:v>
                  </c:pt>
                  <c:pt idx="27">
                    <c:v>甘肃省</c:v>
                  </c:pt>
                  <c:pt idx="28">
                    <c:v>青海省</c:v>
                  </c:pt>
                  <c:pt idx="29">
                    <c:v>宁夏回族自治区</c:v>
                  </c:pt>
                  <c:pt idx="30">
                    <c:v>新疆维吾尔自治区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70241217"/>
        <c:axId val="213266291"/>
      </c:scatterChart>
      <c:valAx>
        <c:axId val="4702412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213266291"/>
        <c:crosses val="autoZero"/>
        <c:crossBetween val="midCat"/>
      </c:valAx>
      <c:valAx>
        <c:axId val="2132662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47024121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01bcca2-cf23-443f-b884-8d1a73413491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洛伦兹曲线</a:t>
            </a:r>
          </a:p>
        </c:rich>
      </c:tx>
      <c:layout>
        <c:manualLayout>
          <c:xMode val="edge"/>
          <c:yMode val="edge"/>
          <c:x val="0.433841131664853"/>
          <c:y val="0.022970903522205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81052631578947"/>
          <c:y val="0.164814814814815"/>
          <c:w val="0.909986842105263"/>
          <c:h val="0.606342592592593"/>
        </c:manualLayout>
      </c:layout>
      <c:scatterChart>
        <c:scatterStyle val="smooth"/>
        <c:varyColors val="0"/>
        <c:ser>
          <c:idx val="0"/>
          <c:order val="0"/>
          <c:tx>
            <c:strRef>
              <c:f>"数据"</c:f>
              <c:strCache>
                <c:ptCount val="1"/>
                <c:pt idx="0">
                  <c:v>数据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公平性!$E$2:$E$32</c:f>
              <c:numCache>
                <c:formatCode>General</c:formatCode>
                <c:ptCount val="31"/>
                <c:pt idx="0">
                  <c:v>1.55641745925366</c:v>
                </c:pt>
                <c:pt idx="1">
                  <c:v>2.52891100685879</c:v>
                </c:pt>
                <c:pt idx="2">
                  <c:v>7.78921701435925</c:v>
                </c:pt>
                <c:pt idx="3">
                  <c:v>10.2461178684995</c:v>
                </c:pt>
                <c:pt idx="4">
                  <c:v>11.9486945486175</c:v>
                </c:pt>
                <c:pt idx="5">
                  <c:v>14.9110924154059</c:v>
                </c:pt>
                <c:pt idx="6">
                  <c:v>16.5630480970782</c:v>
                </c:pt>
                <c:pt idx="7">
                  <c:v>18.722639706826</c:v>
                </c:pt>
                <c:pt idx="8">
                  <c:v>20.4908097933808</c:v>
                </c:pt>
                <c:pt idx="9">
                  <c:v>26.5696074377219</c:v>
                </c:pt>
                <c:pt idx="10">
                  <c:v>31.3251294043834</c:v>
                </c:pt>
                <c:pt idx="11">
                  <c:v>35.69065579147</c:v>
                </c:pt>
                <c:pt idx="12">
                  <c:v>38.680146587004</c:v>
                </c:pt>
                <c:pt idx="13">
                  <c:v>41.8899456715481</c:v>
                </c:pt>
                <c:pt idx="14">
                  <c:v>49.0767015072224</c:v>
                </c:pt>
                <c:pt idx="15">
                  <c:v>56.0531306592137</c:v>
                </c:pt>
                <c:pt idx="16">
                  <c:v>60.212608193472</c:v>
                </c:pt>
                <c:pt idx="17">
                  <c:v>64.8747308531421</c:v>
                </c:pt>
                <c:pt idx="18">
                  <c:v>73.9865105733719</c:v>
                </c:pt>
                <c:pt idx="19">
                  <c:v>77.5606382523635</c:v>
                </c:pt>
                <c:pt idx="20">
                  <c:v>78.3078327082947</c:v>
                </c:pt>
                <c:pt idx="21">
                  <c:v>80.5822127793067</c:v>
                </c:pt>
                <c:pt idx="22">
                  <c:v>86.5455089905745</c:v>
                </c:pt>
                <c:pt idx="23">
                  <c:v>89.2975801736799</c:v>
                </c:pt>
                <c:pt idx="24">
                  <c:v>92.6164639450156</c:v>
                </c:pt>
                <c:pt idx="25">
                  <c:v>92.6164639450156</c:v>
                </c:pt>
                <c:pt idx="26">
                  <c:v>95.4348415063668</c:v>
                </c:pt>
                <c:pt idx="27">
                  <c:v>97.1873262131215</c:v>
                </c:pt>
                <c:pt idx="28">
                  <c:v>97.6101184959147</c:v>
                </c:pt>
                <c:pt idx="29">
                  <c:v>98.1298749447447</c:v>
                </c:pt>
                <c:pt idx="30">
                  <c:v>100</c:v>
                </c:pt>
              </c:numCache>
            </c:numRef>
          </c:xVal>
          <c:yVal>
            <c:numRef>
              <c:f>公平性!$F$2:$F$32</c:f>
              <c:numCache>
                <c:formatCode>General</c:formatCode>
                <c:ptCount val="31"/>
                <c:pt idx="0">
                  <c:v>7.82461581841252</c:v>
                </c:pt>
                <c:pt idx="1">
                  <c:v>13.3370929085013</c:v>
                </c:pt>
                <c:pt idx="2">
                  <c:v>14.972508106584</c:v>
                </c:pt>
                <c:pt idx="3">
                  <c:v>17.6512054137882</c:v>
                </c:pt>
                <c:pt idx="4">
                  <c:v>21.3731848301142</c:v>
                </c:pt>
                <c:pt idx="5">
                  <c:v>25.7436909629212</c:v>
                </c:pt>
                <c:pt idx="6">
                  <c:v>32.3699421965318</c:v>
                </c:pt>
                <c:pt idx="7">
                  <c:v>35.8381502890173</c:v>
                </c:pt>
                <c:pt idx="8">
                  <c:v>40.9558719864655</c:v>
                </c:pt>
                <c:pt idx="9">
                  <c:v>43.6063724799098</c:v>
                </c:pt>
                <c:pt idx="10">
                  <c:v>46.7926124347949</c:v>
                </c:pt>
                <c:pt idx="11">
                  <c:v>48.752290991118</c:v>
                </c:pt>
                <c:pt idx="12">
                  <c:v>52.0372197941633</c:v>
                </c:pt>
                <c:pt idx="13">
                  <c:v>53.9827999436064</c:v>
                </c:pt>
                <c:pt idx="14">
                  <c:v>56.4500211476103</c:v>
                </c:pt>
                <c:pt idx="15">
                  <c:v>57.8175666149725</c:v>
                </c:pt>
                <c:pt idx="16">
                  <c:v>61.0320033836176</c:v>
                </c:pt>
                <c:pt idx="17">
                  <c:v>63.4146341463415</c:v>
                </c:pt>
                <c:pt idx="18">
                  <c:v>65.7972649090653</c:v>
                </c:pt>
                <c:pt idx="19">
                  <c:v>67.7569434653884</c:v>
                </c:pt>
                <c:pt idx="20">
                  <c:v>70.3651487381926</c:v>
                </c:pt>
                <c:pt idx="21">
                  <c:v>74.1435217820386</c:v>
                </c:pt>
                <c:pt idx="22">
                  <c:v>76.6389397998026</c:v>
                </c:pt>
                <c:pt idx="23">
                  <c:v>78.7959960524461</c:v>
                </c:pt>
                <c:pt idx="24">
                  <c:v>80.4173128436487</c:v>
                </c:pt>
                <c:pt idx="25">
                  <c:v>80.4173128436487</c:v>
                </c:pt>
                <c:pt idx="26">
                  <c:v>84.5904412801354</c:v>
                </c:pt>
                <c:pt idx="27">
                  <c:v>88.763569716622</c:v>
                </c:pt>
                <c:pt idx="28">
                  <c:v>92.4573523191879</c:v>
                </c:pt>
                <c:pt idx="29">
                  <c:v>95.3334273227126</c:v>
                </c:pt>
                <c:pt idx="30">
                  <c:v>100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"完全公平线"</c:f>
              <c:strCache>
                <c:ptCount val="1"/>
                <c:pt idx="0">
                  <c:v>完全公平线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(公平性!$E$32,公平性!$E$33)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xVal>
          <c:yVal>
            <c:numRef>
              <c:f>(公平性!$F$32,公平性!$F$33)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329649"/>
        <c:axId val="481166674"/>
      </c:scatterChart>
      <c:valAx>
        <c:axId val="89232964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1166674"/>
        <c:crosses val="autoZero"/>
        <c:crossBetween val="midCat"/>
      </c:valAx>
      <c:valAx>
        <c:axId val="4811666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32964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span"/>
    <c:showDLblsOverMax val="0"/>
    <c:extLst>
      <c:ext uri="{0b15fc19-7d7d-44ad-8c2d-2c3a37ce22c3}">
        <chartProps xmlns="https://web.wps.cn/et/2018/main" chartId="{76cc66be-2e18-49d0-8dce-8cfd266d288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600075</xdr:colOff>
      <xdr:row>1</xdr:row>
      <xdr:rowOff>6985</xdr:rowOff>
    </xdr:from>
    <xdr:to>
      <xdr:col>19</xdr:col>
      <xdr:colOff>42545</xdr:colOff>
      <xdr:row>19</xdr:row>
      <xdr:rowOff>189230</xdr:rowOff>
    </xdr:to>
    <xdr:graphicFrame>
      <xdr:nvGraphicFramePr>
        <xdr:cNvPr id="3" name="图表 2" descr="7b0a202020202263686172745265734964223a20223230343736343339220a7d0a"/>
        <xdr:cNvGraphicFramePr/>
      </xdr:nvGraphicFramePr>
      <xdr:xfrm>
        <a:off x="3000375" y="184785"/>
        <a:ext cx="9196070" cy="6125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61595</xdr:colOff>
      <xdr:row>3</xdr:row>
      <xdr:rowOff>55245</xdr:rowOff>
    </xdr:from>
    <xdr:to>
      <xdr:col>15</xdr:col>
      <xdr:colOff>29210</xdr:colOff>
      <xdr:row>21</xdr:row>
      <xdr:rowOff>143510</xdr:rowOff>
    </xdr:to>
    <xdr:graphicFrame>
      <xdr:nvGraphicFramePr>
        <xdr:cNvPr id="2" name="图表 1"/>
        <xdr:cNvGraphicFramePr/>
      </xdr:nvGraphicFramePr>
      <xdr:xfrm>
        <a:off x="4862195" y="588645"/>
        <a:ext cx="6190615" cy="3288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selection activeCell="F1" sqref="F1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7.25" spans="1:8">
      <c r="A2" s="7" t="s">
        <v>8</v>
      </c>
      <c r="B2" s="8">
        <v>49843.1</v>
      </c>
      <c r="C2" s="8">
        <v>2183</v>
      </c>
      <c r="D2" s="8">
        <v>1247.15</v>
      </c>
      <c r="E2" s="8">
        <v>6.09</v>
      </c>
      <c r="F2" s="9">
        <v>0.0555</v>
      </c>
      <c r="G2" s="9">
        <v>0.1596</v>
      </c>
      <c r="H2" s="9">
        <v>0.1864</v>
      </c>
    </row>
    <row r="3" ht="17.25" spans="1:8">
      <c r="A3" s="7" t="s">
        <v>9</v>
      </c>
      <c r="B3" s="8">
        <v>18024.3</v>
      </c>
      <c r="C3" s="8">
        <v>1364</v>
      </c>
      <c r="D3" s="8">
        <v>500.02</v>
      </c>
      <c r="E3" s="8">
        <v>4.99</v>
      </c>
      <c r="F3" s="9">
        <v>0.0391</v>
      </c>
      <c r="G3" s="9">
        <v>0.092</v>
      </c>
      <c r="H3" s="9">
        <v>0.1178</v>
      </c>
    </row>
    <row r="4" ht="17.25" spans="1:8">
      <c r="A4" s="7" t="s">
        <v>10</v>
      </c>
      <c r="B4" s="8">
        <v>47526.9</v>
      </c>
      <c r="C4" s="8">
        <v>7378</v>
      </c>
      <c r="D4" s="8">
        <v>1828.84</v>
      </c>
      <c r="E4" s="8">
        <v>5.9</v>
      </c>
      <c r="F4" s="10">
        <v>0.0116</v>
      </c>
      <c r="G4" s="10">
        <v>0.0372</v>
      </c>
      <c r="H4" s="10">
        <v>0.0409</v>
      </c>
    </row>
    <row r="5" ht="17.25" spans="1:8">
      <c r="A5" s="7" t="s">
        <v>11</v>
      </c>
      <c r="B5" s="8">
        <v>25494.7</v>
      </c>
      <c r="C5" s="8">
        <v>3446</v>
      </c>
      <c r="D5" s="8">
        <v>922.1</v>
      </c>
      <c r="E5" s="8">
        <v>6.94</v>
      </c>
      <c r="F5" s="9">
        <v>0.019</v>
      </c>
      <c r="G5" s="9">
        <v>0.0631</v>
      </c>
      <c r="H5" s="9">
        <v>0.0786</v>
      </c>
    </row>
    <row r="6" ht="17.25" spans="1:8">
      <c r="A6" s="7" t="s">
        <v>12</v>
      </c>
      <c r="B6" s="8">
        <v>26314.6</v>
      </c>
      <c r="C6" s="8">
        <v>2388</v>
      </c>
      <c r="D6" s="8">
        <v>783.65</v>
      </c>
      <c r="E6" s="8">
        <v>5.52</v>
      </c>
      <c r="F6" s="9">
        <v>0.0264</v>
      </c>
      <c r="G6" s="9">
        <v>0.0881</v>
      </c>
      <c r="H6" s="9">
        <v>0.0954</v>
      </c>
    </row>
    <row r="7" ht="17.25" spans="1:8">
      <c r="A7" s="7" t="s">
        <v>13</v>
      </c>
      <c r="B7" s="8">
        <v>32612.7</v>
      </c>
      <c r="C7" s="8">
        <v>4155</v>
      </c>
      <c r="D7" s="8">
        <v>740.91</v>
      </c>
      <c r="E7" s="8">
        <v>4.32</v>
      </c>
      <c r="F7" s="9">
        <v>0.031</v>
      </c>
      <c r="G7" s="9">
        <v>0.0796</v>
      </c>
      <c r="H7" s="9">
        <v>0.0834</v>
      </c>
    </row>
    <row r="8" ht="17.25" spans="1:8">
      <c r="A8" s="7" t="s">
        <v>14</v>
      </c>
      <c r="B8" s="8">
        <v>14361.2</v>
      </c>
      <c r="C8" s="8">
        <v>2317</v>
      </c>
      <c r="D8" s="8">
        <v>539.37</v>
      </c>
      <c r="E8" s="8">
        <v>4.17</v>
      </c>
      <c r="F8" s="10">
        <v>0.047</v>
      </c>
      <c r="G8" s="10">
        <v>0.123</v>
      </c>
      <c r="H8" s="10">
        <v>0.1278</v>
      </c>
    </row>
    <row r="9" ht="17.25" spans="1:8">
      <c r="A9" s="7" t="s">
        <v>15</v>
      </c>
      <c r="B9" s="8">
        <v>16476.9</v>
      </c>
      <c r="C9" s="8">
        <v>3029</v>
      </c>
      <c r="D9" s="8">
        <v>616.1</v>
      </c>
      <c r="E9" s="8">
        <v>3.35</v>
      </c>
      <c r="F9" s="9">
        <v>0.0246</v>
      </c>
      <c r="G9" s="9">
        <v>0.0818</v>
      </c>
      <c r="H9" s="9">
        <v>0.0869</v>
      </c>
    </row>
    <row r="10" ht="17.25" spans="1:8">
      <c r="A10" s="7" t="s">
        <v>16</v>
      </c>
      <c r="B10" s="8">
        <v>53926.7</v>
      </c>
      <c r="C10" s="8">
        <v>2480</v>
      </c>
      <c r="D10" s="8">
        <v>1233.85</v>
      </c>
      <c r="E10" s="8">
        <v>4.75</v>
      </c>
      <c r="F10" s="10">
        <v>0.0363</v>
      </c>
      <c r="G10" s="10">
        <v>0.1218</v>
      </c>
      <c r="H10" s="10">
        <v>0.1632</v>
      </c>
    </row>
    <row r="11" ht="17.25" spans="1:8">
      <c r="A11" s="7" t="s">
        <v>17</v>
      </c>
      <c r="B11" s="8">
        <v>137008</v>
      </c>
      <c r="C11" s="8">
        <v>8526</v>
      </c>
      <c r="D11" s="8">
        <v>2757.9</v>
      </c>
      <c r="E11" s="8">
        <v>4.98</v>
      </c>
      <c r="F11" s="9">
        <v>0.0188</v>
      </c>
      <c r="G11" s="9">
        <v>0.0679</v>
      </c>
      <c r="H11" s="9">
        <v>0.1121</v>
      </c>
    </row>
    <row r="12" ht="17.25" spans="1:8">
      <c r="A12" s="7" t="s">
        <v>18</v>
      </c>
      <c r="B12" s="8">
        <v>90130.6</v>
      </c>
      <c r="C12" s="8">
        <v>6670</v>
      </c>
      <c r="D12" s="8">
        <v>2474.82</v>
      </c>
      <c r="E12" s="8">
        <v>6.17</v>
      </c>
      <c r="F12" s="10">
        <v>0.0226</v>
      </c>
      <c r="G12" s="10">
        <v>0.0512</v>
      </c>
      <c r="H12" s="10">
        <v>0.0661</v>
      </c>
    </row>
    <row r="13" ht="17.25" spans="1:8">
      <c r="A13" s="7" t="s">
        <v>19</v>
      </c>
      <c r="B13" s="8">
        <v>50625.2</v>
      </c>
      <c r="C13" s="8">
        <v>6123</v>
      </c>
      <c r="D13" s="8">
        <v>1558.68</v>
      </c>
      <c r="E13" s="8">
        <v>6.17</v>
      </c>
      <c r="F13" s="9">
        <v>0.0139</v>
      </c>
      <c r="G13" s="9">
        <v>0.0543</v>
      </c>
      <c r="H13" s="9">
        <v>0.06</v>
      </c>
    </row>
    <row r="14" ht="17.25" spans="1:8">
      <c r="A14" s="7" t="s">
        <v>20</v>
      </c>
      <c r="B14" s="8">
        <v>57761</v>
      </c>
      <c r="C14" s="8">
        <v>4193</v>
      </c>
      <c r="D14" s="8">
        <v>1287.43</v>
      </c>
      <c r="E14" s="8">
        <v>6.95</v>
      </c>
      <c r="F14" s="10">
        <v>0.0233</v>
      </c>
      <c r="G14" s="10">
        <v>0.0614</v>
      </c>
      <c r="H14" s="10">
        <v>0.0661</v>
      </c>
    </row>
    <row r="15" ht="17.25" spans="1:8">
      <c r="A15" s="7" t="s">
        <v>21</v>
      </c>
      <c r="B15" s="8">
        <v>34202.5</v>
      </c>
      <c r="C15" s="8">
        <v>4502</v>
      </c>
      <c r="D15" s="8">
        <v>1393.43</v>
      </c>
      <c r="E15" s="8">
        <v>6.65</v>
      </c>
      <c r="F15" s="10">
        <v>0.0138</v>
      </c>
      <c r="G15" s="10">
        <v>0.0409</v>
      </c>
      <c r="H15" s="10">
        <v>0.0442</v>
      </c>
    </row>
    <row r="16" ht="17.25" spans="1:8">
      <c r="A16" s="7" t="s">
        <v>22</v>
      </c>
      <c r="B16" s="8">
        <v>98565.8</v>
      </c>
      <c r="C16" s="8">
        <v>10080</v>
      </c>
      <c r="D16" s="8">
        <v>2748.74</v>
      </c>
      <c r="E16" s="8">
        <v>6.42</v>
      </c>
      <c r="F16" s="10">
        <v>0.0175</v>
      </c>
      <c r="G16" s="10">
        <v>0.039</v>
      </c>
      <c r="H16" s="10">
        <v>0.0423</v>
      </c>
    </row>
    <row r="17" ht="17.25" spans="1:8">
      <c r="A17" s="7" t="s">
        <v>23</v>
      </c>
      <c r="B17" s="8">
        <v>63590</v>
      </c>
      <c r="C17" s="8">
        <v>9785</v>
      </c>
      <c r="D17" s="8">
        <v>2059.66</v>
      </c>
      <c r="E17" s="8">
        <v>7.78</v>
      </c>
      <c r="F17" s="9">
        <v>0.0097</v>
      </c>
      <c r="G17" s="9">
        <v>0.0289</v>
      </c>
      <c r="H17" s="9">
        <v>0.0366</v>
      </c>
    </row>
    <row r="18" ht="17.25" spans="1:8">
      <c r="A18" s="7" t="s">
        <v>24</v>
      </c>
      <c r="B18" s="8">
        <v>60013</v>
      </c>
      <c r="C18" s="8">
        <v>5834</v>
      </c>
      <c r="D18" s="8">
        <v>1390.05</v>
      </c>
      <c r="E18" s="8">
        <v>5.38</v>
      </c>
      <c r="F18" s="10">
        <v>0.0228</v>
      </c>
      <c r="G18" s="10">
        <v>0.0589</v>
      </c>
      <c r="H18" s="10">
        <v>0.0625</v>
      </c>
    </row>
    <row r="19" ht="17.25" spans="1:8">
      <c r="A19" s="7" t="s">
        <v>25</v>
      </c>
      <c r="B19" s="8">
        <v>53231</v>
      </c>
      <c r="C19" s="8">
        <v>6539</v>
      </c>
      <c r="D19" s="8">
        <v>1601.41</v>
      </c>
      <c r="E19" s="8">
        <v>5.89</v>
      </c>
      <c r="F19" s="10">
        <v>0.0169</v>
      </c>
      <c r="G19" s="10">
        <v>0.0448</v>
      </c>
      <c r="H19" s="10">
        <v>0.0588</v>
      </c>
    </row>
    <row r="20" ht="17.25" spans="1:8">
      <c r="A20" s="7" t="s">
        <v>26</v>
      </c>
      <c r="B20" s="8">
        <v>141633.8</v>
      </c>
      <c r="C20" s="8">
        <v>12780</v>
      </c>
      <c r="D20" s="8">
        <v>4055.57</v>
      </c>
      <c r="E20" s="8">
        <v>8.89</v>
      </c>
      <c r="F20" s="10">
        <v>0.0169</v>
      </c>
      <c r="G20" s="10">
        <v>0.0364</v>
      </c>
      <c r="H20" s="10">
        <v>0.0525</v>
      </c>
    </row>
    <row r="21" ht="17.25" spans="1:8">
      <c r="A21" s="7" t="s">
        <v>27</v>
      </c>
      <c r="B21" s="8">
        <v>28649.4</v>
      </c>
      <c r="C21" s="8">
        <v>5013</v>
      </c>
      <c r="D21" s="8">
        <v>1226.35</v>
      </c>
      <c r="E21" s="8">
        <v>8.37</v>
      </c>
      <c r="F21" s="9">
        <v>0.0139</v>
      </c>
      <c r="G21" s="9">
        <v>0.0418</v>
      </c>
      <c r="H21" s="9">
        <v>0.0466</v>
      </c>
    </row>
    <row r="22" ht="17.25" spans="1:8">
      <c r="A22" s="7" t="s">
        <v>28</v>
      </c>
      <c r="B22" s="8">
        <v>7935.7</v>
      </c>
      <c r="C22" s="8">
        <v>1048</v>
      </c>
      <c r="D22" s="8">
        <v>362.4</v>
      </c>
      <c r="E22" s="8">
        <v>9.37</v>
      </c>
      <c r="F22" s="10">
        <v>0.0185</v>
      </c>
      <c r="G22" s="10">
        <v>0.0825</v>
      </c>
      <c r="H22" s="10">
        <v>0.0933</v>
      </c>
    </row>
    <row r="23" ht="17.25" spans="1:8">
      <c r="A23" s="7" t="s">
        <v>29</v>
      </c>
      <c r="B23" s="8">
        <v>32193.2</v>
      </c>
      <c r="C23" s="8">
        <v>3190</v>
      </c>
      <c r="D23" s="8">
        <v>858.62</v>
      </c>
      <c r="E23" s="8">
        <v>5.99</v>
      </c>
      <c r="F23" s="10">
        <v>0.0268</v>
      </c>
      <c r="G23" s="10">
        <v>0.0677</v>
      </c>
      <c r="H23" s="10">
        <v>0.0748</v>
      </c>
    </row>
    <row r="24" ht="17.25" spans="1:8">
      <c r="A24" s="7" t="s">
        <v>30</v>
      </c>
      <c r="B24" s="8">
        <v>64697</v>
      </c>
      <c r="C24" s="8">
        <v>8364</v>
      </c>
      <c r="D24" s="8">
        <v>1969.68</v>
      </c>
      <c r="E24" s="8">
        <v>6.41</v>
      </c>
      <c r="F24" s="9">
        <v>0.0177</v>
      </c>
      <c r="G24" s="9">
        <v>0.0485</v>
      </c>
      <c r="H24" s="9">
        <v>0.0741</v>
      </c>
    </row>
    <row r="25" ht="17.25" spans="1:8">
      <c r="A25" s="7" t="s">
        <v>31</v>
      </c>
      <c r="B25" s="8">
        <v>22667.1</v>
      </c>
      <c r="C25" s="8">
        <v>3860</v>
      </c>
      <c r="D25" s="8">
        <v>1209.83</v>
      </c>
      <c r="E25" s="8">
        <v>10.74</v>
      </c>
      <c r="F25" s="9">
        <v>0.0153</v>
      </c>
      <c r="G25" s="9">
        <v>0.0605</v>
      </c>
      <c r="H25" s="9">
        <v>0.0682</v>
      </c>
    </row>
    <row r="26" ht="17.25" spans="1:8">
      <c r="A26" s="7" t="s">
        <v>32</v>
      </c>
      <c r="B26" s="8">
        <v>31534.1</v>
      </c>
      <c r="C26" s="8">
        <v>4655</v>
      </c>
      <c r="D26" s="8">
        <v>1197.62</v>
      </c>
      <c r="E26" s="8">
        <v>8.62</v>
      </c>
      <c r="F26" s="9">
        <v>0.0115</v>
      </c>
      <c r="G26" s="9">
        <v>0.0373</v>
      </c>
      <c r="H26" s="9">
        <v>0.0427</v>
      </c>
    </row>
    <row r="27" ht="16.5" spans="1:8">
      <c r="A27" s="7" t="s">
        <v>33</v>
      </c>
      <c r="B27" s="8">
        <v>2764.9</v>
      </c>
      <c r="C27" s="8">
        <v>370</v>
      </c>
      <c r="D27" s="8">
        <v>333.63</v>
      </c>
      <c r="E27" s="8">
        <v>13.87</v>
      </c>
      <c r="F27" s="11" t="s">
        <v>34</v>
      </c>
      <c r="G27" s="11" t="s">
        <v>34</v>
      </c>
      <c r="H27" s="11" t="s">
        <v>34</v>
      </c>
    </row>
    <row r="28" ht="17.25" spans="1:8">
      <c r="A28" s="7" t="s">
        <v>35</v>
      </c>
      <c r="B28" s="8">
        <v>35538.8</v>
      </c>
      <c r="C28" s="8">
        <v>3953</v>
      </c>
      <c r="D28" s="8">
        <v>1119.54</v>
      </c>
      <c r="E28" s="8">
        <v>7.36</v>
      </c>
      <c r="F28" s="9">
        <v>0.0296</v>
      </c>
      <c r="G28" s="9">
        <v>0.0767</v>
      </c>
      <c r="H28" s="9">
        <v>0.082</v>
      </c>
    </row>
    <row r="29" ht="17.25" spans="1:8">
      <c r="A29" s="7" t="s">
        <v>36</v>
      </c>
      <c r="B29" s="8">
        <v>13002.9</v>
      </c>
      <c r="C29" s="8">
        <v>2458</v>
      </c>
      <c r="D29" s="8">
        <v>723.88</v>
      </c>
      <c r="E29" s="8">
        <v>8</v>
      </c>
      <c r="F29" s="9">
        <v>0.0296</v>
      </c>
      <c r="G29" s="9">
        <v>0.0686</v>
      </c>
      <c r="H29" s="9">
        <v>0.076</v>
      </c>
    </row>
    <row r="30" ht="17.25" spans="1:8">
      <c r="A30" s="7" t="s">
        <v>37</v>
      </c>
      <c r="B30" s="8">
        <v>3950.8</v>
      </c>
      <c r="C30" s="8">
        <v>593</v>
      </c>
      <c r="D30" s="8">
        <v>232.08</v>
      </c>
      <c r="E30" s="8">
        <v>10.11</v>
      </c>
      <c r="F30" s="10">
        <v>0.0262</v>
      </c>
      <c r="G30" s="10">
        <v>0.1023</v>
      </c>
      <c r="H30" s="10">
        <v>0.1095</v>
      </c>
    </row>
    <row r="31" ht="17.25" spans="1:8">
      <c r="A31" s="7" t="s">
        <v>38</v>
      </c>
      <c r="B31" s="8">
        <v>5502.8</v>
      </c>
      <c r="C31" s="8">
        <v>729</v>
      </c>
      <c r="D31" s="8">
        <v>225.39</v>
      </c>
      <c r="E31" s="8">
        <v>10.97</v>
      </c>
      <c r="F31" s="10">
        <v>0.0204</v>
      </c>
      <c r="G31" s="10">
        <v>0.0785</v>
      </c>
      <c r="H31" s="10">
        <v>0.0838</v>
      </c>
    </row>
    <row r="32" ht="17.25" spans="1:8">
      <c r="A32" s="7" t="s">
        <v>39</v>
      </c>
      <c r="B32" s="8">
        <v>20534.1</v>
      </c>
      <c r="C32" s="8">
        <v>2623</v>
      </c>
      <c r="D32" s="8">
        <v>1215.82</v>
      </c>
      <c r="E32" s="8">
        <v>9.42</v>
      </c>
      <c r="F32" s="10">
        <v>0.0331</v>
      </c>
      <c r="G32" s="10">
        <v>0.1238</v>
      </c>
      <c r="H32" s="10">
        <v>0.1365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F4" sqref="F4"/>
    </sheetView>
  </sheetViews>
  <sheetFormatPr defaultColWidth="9" defaultRowHeight="14" outlineLevelCol="7"/>
  <cols>
    <col min="2" max="7" width="12.8181818181818"/>
  </cols>
  <sheetData>
    <row r="1" spans="1:8">
      <c r="A1" s="2" t="s">
        <v>0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3" t="s">
        <v>46</v>
      </c>
    </row>
    <row r="2" spans="1:8">
      <c r="A2" s="7" t="s">
        <v>8</v>
      </c>
      <c r="B2" s="1">
        <f>IFERROR(数据!B2/数据!C2*10000,"")</f>
        <v>228323.86623912</v>
      </c>
      <c r="C2">
        <f>IFERROR(数据!D2/数据!B2*100,"")</f>
        <v>2.5021517521984</v>
      </c>
      <c r="D2">
        <f>IFERROR(数据!D2/数据!C2*10000,"")</f>
        <v>5713.00961978928</v>
      </c>
      <c r="E2">
        <f>IFERROR(数据!C2*数据!E2/(数据!F2*1000),"")</f>
        <v>239.54</v>
      </c>
      <c r="F2">
        <f>IFERROR(数据!F2/C2,"")</f>
        <v>0.0221809088722287</v>
      </c>
      <c r="G2">
        <f>IFERROR(数据!F2/AVERAGE(数据!$F$2:$F$32),"")</f>
        <v>2.34738474552376</v>
      </c>
      <c r="H2">
        <f>IF(数据!F2="","",RANK(数据!F2,数据!$F$2:$F$32,0))</f>
        <v>1</v>
      </c>
    </row>
    <row r="3" spans="1:8">
      <c r="A3" s="7" t="s">
        <v>9</v>
      </c>
      <c r="B3" s="1">
        <f>IFERROR(数据!B3/数据!C3*10000,"")</f>
        <v>132142.961876833</v>
      </c>
      <c r="C3">
        <f>IFERROR(数据!D3/数据!B3*100,"")</f>
        <v>2.77414379476595</v>
      </c>
      <c r="D3">
        <f>IFERROR(数据!D3/数据!C3*10000,"")</f>
        <v>3665.8357771261</v>
      </c>
      <c r="E3">
        <f>IFERROR(数据!C3*数据!E3/(数据!F3*1000),"")</f>
        <v>174.075703324808</v>
      </c>
      <c r="F3">
        <f>IFERROR(数据!F3/C3,"")</f>
        <v>0.0140944388224471</v>
      </c>
      <c r="G3">
        <f>IFERROR(数据!F3/AVERAGE(数据!$F$2:$F$32),"")</f>
        <v>1.65374312702665</v>
      </c>
      <c r="H3">
        <f>IF(数据!F3="","",RANK(数据!F3,数据!$F$2:$F$32,0))</f>
        <v>3</v>
      </c>
    </row>
    <row r="4" spans="1:8">
      <c r="A4" s="7" t="s">
        <v>10</v>
      </c>
      <c r="B4" s="1">
        <f>IFERROR(数据!B4/数据!C4*10000,"")</f>
        <v>64417.0506912442</v>
      </c>
      <c r="C4">
        <f>IFERROR(数据!D4/数据!B4*100,"")</f>
        <v>3.84801028470193</v>
      </c>
      <c r="D4">
        <f>IFERROR(数据!D4/数据!C4*10000,"")</f>
        <v>2478.77473570073</v>
      </c>
      <c r="E4">
        <f>IFERROR(数据!C4*数据!E4/(数据!F4*1000),"")</f>
        <v>3752.60344827586</v>
      </c>
      <c r="F4">
        <f>IFERROR(数据!F4/C4,"")</f>
        <v>0.00301454495745937</v>
      </c>
      <c r="G4">
        <f>IFERROR(数据!F4/AVERAGE(数据!$F$2:$F$32),"")</f>
        <v>0.490624559424785</v>
      </c>
      <c r="H4">
        <f>IF(数据!F4="","",RANK(数据!F4,数据!$F$2:$F$32,0))</f>
        <v>28</v>
      </c>
    </row>
    <row r="5" spans="1:8">
      <c r="A5" s="7" t="s">
        <v>11</v>
      </c>
      <c r="B5" s="1">
        <f>IFERROR(数据!B5/数据!C5*10000,"")</f>
        <v>73983.4590829948</v>
      </c>
      <c r="C5">
        <f>IFERROR(数据!D5/数据!B5*100,"")</f>
        <v>3.6168301647009</v>
      </c>
      <c r="D5">
        <f>IFERROR(数据!D5/数据!C5*10000,"")</f>
        <v>2675.8560650029</v>
      </c>
      <c r="E5">
        <f>IFERROR(数据!C5*数据!E5/(数据!F5*1000),"")</f>
        <v>1258.69684210526</v>
      </c>
      <c r="F5">
        <f>IFERROR(数据!F5/C5,"")</f>
        <v>0.00525321873983299</v>
      </c>
      <c r="G5">
        <f>IFERROR(数据!F5/AVERAGE(数据!$F$2:$F$32),"")</f>
        <v>0.803609192161286</v>
      </c>
      <c r="H5">
        <f>IF(数据!F5="","",RANK(数据!F5,数据!$F$2:$F$32,0))</f>
        <v>17</v>
      </c>
    </row>
    <row r="6" spans="1:8">
      <c r="A6" s="7" t="s">
        <v>12</v>
      </c>
      <c r="B6" s="1">
        <f>IFERROR(数据!B6/数据!C6*10000,"")</f>
        <v>110195.142378559</v>
      </c>
      <c r="C6">
        <f>IFERROR(数据!D6/数据!B6*100,"")</f>
        <v>2.97800460580818</v>
      </c>
      <c r="D6">
        <f>IFERROR(数据!D6/数据!C6*10000,"")</f>
        <v>3281.61641541038</v>
      </c>
      <c r="E6">
        <f>IFERROR(数据!C6*数据!E6/(数据!F6*1000),"")</f>
        <v>499.309090909091</v>
      </c>
      <c r="F6">
        <f>IFERROR(数据!F6/C6,"")</f>
        <v>0.00886499636317233</v>
      </c>
      <c r="G6">
        <f>IFERROR(数据!F6/AVERAGE(数据!$F$2:$F$32),"")</f>
        <v>1.11659382489779</v>
      </c>
      <c r="H6">
        <f>IF(数据!F6="","",RANK(数据!F6,数据!$F$2:$F$32,0))</f>
        <v>10</v>
      </c>
    </row>
    <row r="7" spans="1:8">
      <c r="A7" s="7" t="s">
        <v>13</v>
      </c>
      <c r="B7" s="1">
        <f>IFERROR(数据!B7/数据!C7*10000,"")</f>
        <v>78490.2527075812</v>
      </c>
      <c r="C7">
        <f>IFERROR(数据!D7/数据!B7*100,"")</f>
        <v>2.27184501743186</v>
      </c>
      <c r="D7">
        <f>IFERROR(数据!D7/数据!C7*10000,"")</f>
        <v>1783.17689530686</v>
      </c>
      <c r="E7">
        <f>IFERROR(数据!C7*数据!E7/(数据!F7*1000),"")</f>
        <v>579.01935483871</v>
      </c>
      <c r="F7">
        <f>IFERROR(数据!F7/C7,"")</f>
        <v>0.0136452969996356</v>
      </c>
      <c r="G7">
        <f>IFERROR(数据!F7/AVERAGE(数据!$F$2:$F$32),"")</f>
        <v>1.3111518398421</v>
      </c>
      <c r="H7">
        <f>IF(数据!F7="","",RANK(数据!F7,数据!$F$2:$F$32,0))</f>
        <v>6</v>
      </c>
    </row>
    <row r="8" spans="1:8">
      <c r="A8" s="7" t="s">
        <v>14</v>
      </c>
      <c r="B8" s="1">
        <f>IFERROR(数据!B8/数据!C8*10000,"")</f>
        <v>61981.8731117825</v>
      </c>
      <c r="C8">
        <f>IFERROR(数据!D8/数据!B8*100,"")</f>
        <v>3.75574464529426</v>
      </c>
      <c r="D8">
        <f>IFERROR(数据!D8/数据!C8*10000,"")</f>
        <v>2327.88088044886</v>
      </c>
      <c r="E8">
        <f>IFERROR(数据!C8*数据!E8/(数据!F8*1000),"")</f>
        <v>205.572127659574</v>
      </c>
      <c r="F8">
        <f>IFERROR(数据!F8/C8,"")</f>
        <v>0.0125141628195858</v>
      </c>
      <c r="G8">
        <f>IFERROR(数据!F8/AVERAGE(数据!$F$2:$F$32),"")</f>
        <v>1.98787537008318</v>
      </c>
      <c r="H8">
        <f>IF(数据!F8="","",RANK(数据!F8,数据!$F$2:$F$32,0))</f>
        <v>2</v>
      </c>
    </row>
    <row r="9" spans="1:8">
      <c r="A9" s="7" t="s">
        <v>15</v>
      </c>
      <c r="B9" s="1">
        <f>IFERROR(数据!B9/数据!C9*10000,"")</f>
        <v>54397.160779135</v>
      </c>
      <c r="C9">
        <f>IFERROR(数据!D9/数据!B9*100,"")</f>
        <v>3.73917423787241</v>
      </c>
      <c r="D9">
        <f>IFERROR(数据!D9/数据!C9*10000,"")</f>
        <v>2034.00462198745</v>
      </c>
      <c r="E9">
        <f>IFERROR(数据!C9*数据!E9/(数据!F9*1000),"")</f>
        <v>412.485772357724</v>
      </c>
      <c r="F9">
        <f>IFERROR(数据!F9/C9,"")</f>
        <v>0.00657899269599091</v>
      </c>
      <c r="G9">
        <f>IFERROR(数据!F9/AVERAGE(数据!$F$2:$F$32),"")</f>
        <v>1.04046242774566</v>
      </c>
      <c r="H9">
        <f>IF(数据!F9="","",RANK(数据!F9,数据!$F$2:$F$32,0))</f>
        <v>12</v>
      </c>
    </row>
    <row r="10" spans="1:8">
      <c r="A10" s="7" t="s">
        <v>16</v>
      </c>
      <c r="B10" s="1">
        <f>IFERROR(数据!B10/数据!C10*10000,"")</f>
        <v>217446.370967742</v>
      </c>
      <c r="C10">
        <f>IFERROR(数据!D10/数据!B10*100,"")</f>
        <v>2.28801317343728</v>
      </c>
      <c r="D10">
        <f>IFERROR(数据!D10/数据!C10*10000,"")</f>
        <v>4975.20161290323</v>
      </c>
      <c r="E10">
        <f>IFERROR(数据!C10*数据!E10/(数据!F10*1000),"")</f>
        <v>324.517906336088</v>
      </c>
      <c r="F10">
        <f>IFERROR(数据!F10/C10,"")</f>
        <v>0.0158652932690359</v>
      </c>
      <c r="G10">
        <f>IFERROR(数据!F10/AVERAGE(数据!$F$2:$F$32),"")</f>
        <v>1.53531650923446</v>
      </c>
      <c r="H10">
        <f>IF(数据!F10="","",RANK(数据!F10,数据!$F$2:$F$32,0))</f>
        <v>4</v>
      </c>
    </row>
    <row r="11" spans="1:8">
      <c r="A11" s="7" t="s">
        <v>17</v>
      </c>
      <c r="B11" s="1">
        <f>IFERROR(数据!B11/数据!C11*10000,"")</f>
        <v>160694.346704199</v>
      </c>
      <c r="C11">
        <f>IFERROR(数据!D11/数据!B11*100,"")</f>
        <v>2.0129481490132</v>
      </c>
      <c r="D11">
        <f>IFERROR(数据!D11/数据!C11*10000,"")</f>
        <v>3234.69387755102</v>
      </c>
      <c r="E11">
        <f>IFERROR(数据!C11*数据!E11/(数据!F11*1000),"")</f>
        <v>2258.4829787234</v>
      </c>
      <c r="F11">
        <f>IFERROR(数据!F11/C11,"")</f>
        <v>0.00933953515355887</v>
      </c>
      <c r="G11">
        <f>IFERROR(数据!F11/AVERAGE(数据!$F$2:$F$32),"")</f>
        <v>0.795150148033272</v>
      </c>
      <c r="H11">
        <f>IF(数据!F11="","",RANK(数据!F11,数据!$F$2:$F$32,0))</f>
        <v>18</v>
      </c>
    </row>
    <row r="12" spans="1:8">
      <c r="A12" s="7" t="s">
        <v>18</v>
      </c>
      <c r="B12" s="1">
        <f>IFERROR(数据!B12/数据!C12*10000,"")</f>
        <v>135128.335832084</v>
      </c>
      <c r="C12">
        <f>IFERROR(数据!D12/数据!B12*100,"")</f>
        <v>2.74581551659481</v>
      </c>
      <c r="D12">
        <f>IFERROR(数据!D12/数据!C12*10000,"")</f>
        <v>3710.3748125937</v>
      </c>
      <c r="E12">
        <f>IFERROR(数据!C12*数据!E12/(数据!F12*1000),"")</f>
        <v>1820.96902654867</v>
      </c>
      <c r="F12">
        <f>IFERROR(数据!F12/C12,"")</f>
        <v>0.00823070590992476</v>
      </c>
      <c r="G12">
        <f>IFERROR(数据!F12/AVERAGE(数据!$F$2:$F$32),"")</f>
        <v>0.955871986465529</v>
      </c>
      <c r="H12">
        <f>IF(数据!F12="","",RANK(数据!F12,数据!$F$2:$F$32,0))</f>
        <v>15</v>
      </c>
    </row>
    <row r="13" spans="1:8">
      <c r="A13" s="7" t="s">
        <v>19</v>
      </c>
      <c r="B13" s="1">
        <f>IFERROR(数据!B13/数据!C13*10000,"")</f>
        <v>82680.3854319778</v>
      </c>
      <c r="C13">
        <f>IFERROR(数据!D13/数据!B13*100,"")</f>
        <v>3.07886191066899</v>
      </c>
      <c r="D13">
        <f>IFERROR(数据!D13/数据!C13*10000,"")</f>
        <v>2545.61489465948</v>
      </c>
      <c r="E13">
        <f>IFERROR(数据!C13*数据!E13/(数据!F13*1000),"")</f>
        <v>2717.9071942446</v>
      </c>
      <c r="F13">
        <f>IFERROR(数据!F13/C13,"")</f>
        <v>0.00451465522108451</v>
      </c>
      <c r="G13">
        <f>IFERROR(数据!F13/AVERAGE(数据!$F$2:$F$32),"")</f>
        <v>0.587903566896941</v>
      </c>
      <c r="H13">
        <f>IF(数据!F13="","",RANK(数据!F13,数据!$F$2:$F$32,0))</f>
        <v>25</v>
      </c>
    </row>
    <row r="14" spans="1:8">
      <c r="A14" s="7" t="s">
        <v>20</v>
      </c>
      <c r="B14" s="1">
        <f>IFERROR(数据!B14/数据!C14*10000,"")</f>
        <v>137755.783448605</v>
      </c>
      <c r="C14">
        <f>IFERROR(数据!D14/数据!B14*100,"")</f>
        <v>2.22889146656048</v>
      </c>
      <c r="D14">
        <f>IFERROR(数据!D14/数据!C14*10000,"")</f>
        <v>3070.42690197949</v>
      </c>
      <c r="E14">
        <f>IFERROR(数据!C14*数据!E14/(数据!F14*1000),"")</f>
        <v>1250.7017167382</v>
      </c>
      <c r="F14">
        <f>IFERROR(数据!F14/C14,"")</f>
        <v>0.0104536269933123</v>
      </c>
      <c r="G14">
        <f>IFERROR(数据!F14/AVERAGE(数据!$F$2:$F$32),"")</f>
        <v>0.985478640913577</v>
      </c>
      <c r="H14">
        <f>IF(数据!F14="","",RANK(数据!F14,数据!$F$2:$F$32,0))</f>
        <v>13</v>
      </c>
    </row>
    <row r="15" spans="1:8">
      <c r="A15" s="7" t="s">
        <v>21</v>
      </c>
      <c r="B15" s="1">
        <f>IFERROR(数据!B15/数据!C15*10000,"")</f>
        <v>75971.7903154154</v>
      </c>
      <c r="C15">
        <f>IFERROR(数据!D15/数据!B15*100,"")</f>
        <v>4.07405891382209</v>
      </c>
      <c r="D15">
        <f>IFERROR(数据!D15/数据!C15*10000,"")</f>
        <v>3095.13549533541</v>
      </c>
      <c r="E15">
        <f>IFERROR(数据!C15*数据!E15/(数据!F15*1000),"")</f>
        <v>2169.44202898551</v>
      </c>
      <c r="F15">
        <f>IFERROR(数据!F15/C15,"")</f>
        <v>0.00338728533187889</v>
      </c>
      <c r="G15">
        <f>IFERROR(数据!F15/AVERAGE(数据!$F$2:$F$32),"")</f>
        <v>0.583674044832934</v>
      </c>
      <c r="H15">
        <f>IF(数据!F15="","",RANK(数据!F15,数据!$F$2:$F$32,0))</f>
        <v>27</v>
      </c>
    </row>
    <row r="16" spans="1:8">
      <c r="A16" s="7" t="s">
        <v>22</v>
      </c>
      <c r="B16" s="1">
        <f>IFERROR(数据!B16/数据!C16*10000,"")</f>
        <v>97783.5317460318</v>
      </c>
      <c r="C16">
        <f>IFERROR(数据!D16/数据!B16*100,"")</f>
        <v>2.78873605246444</v>
      </c>
      <c r="D16">
        <f>IFERROR(数据!D16/数据!C16*10000,"")</f>
        <v>2726.9246031746</v>
      </c>
      <c r="E16">
        <f>IFERROR(数据!C16*数据!E16/(数据!F16*1000),"")</f>
        <v>3697.92</v>
      </c>
      <c r="F16">
        <f>IFERROR(数据!F16/C16,"")</f>
        <v>0.00627524429374914</v>
      </c>
      <c r="G16">
        <f>IFERROR(数据!F16/AVERAGE(数据!$F$2:$F$32),"")</f>
        <v>0.740166361201184</v>
      </c>
      <c r="H16">
        <f>IF(数据!F16="","",RANK(数据!F16,数据!$F$2:$F$32,0))</f>
        <v>21</v>
      </c>
    </row>
    <row r="17" spans="1:8">
      <c r="A17" s="7" t="s">
        <v>23</v>
      </c>
      <c r="B17" s="1">
        <f>IFERROR(数据!B17/数据!C17*10000,"")</f>
        <v>64987.2253449157</v>
      </c>
      <c r="C17">
        <f>IFERROR(数据!D17/数据!B17*100,"")</f>
        <v>3.23896839125649</v>
      </c>
      <c r="D17">
        <f>IFERROR(数据!D17/数据!C17*10000,"")</f>
        <v>2104.91568727644</v>
      </c>
      <c r="E17">
        <f>IFERROR(数据!C17*数据!E17/(数据!F17*1000),"")</f>
        <v>7848.17525773196</v>
      </c>
      <c r="F17">
        <f>IFERROR(数据!F17/C17,"")</f>
        <v>0.00299478069195887</v>
      </c>
      <c r="G17">
        <f>IFERROR(数据!F17/AVERAGE(数据!$F$2:$F$32),"")</f>
        <v>0.410263640208656</v>
      </c>
      <c r="H17">
        <f>IF(数据!F17="","",RANK(数据!F17,数据!$F$2:$F$32,0))</f>
        <v>30</v>
      </c>
    </row>
    <row r="18" spans="1:8">
      <c r="A18" s="7" t="s">
        <v>24</v>
      </c>
      <c r="B18" s="1">
        <f>IFERROR(数据!B18/数据!C18*10000,"")</f>
        <v>102867.672266027</v>
      </c>
      <c r="C18">
        <f>IFERROR(数据!D18/数据!B18*100,"")</f>
        <v>2.31624814623498</v>
      </c>
      <c r="D18">
        <f>IFERROR(数据!D18/数据!C18*10000,"")</f>
        <v>2382.67055193692</v>
      </c>
      <c r="E18">
        <f>IFERROR(数据!C18*数据!E18/(数据!F18*1000),"")</f>
        <v>1376.61929824561</v>
      </c>
      <c r="F18">
        <f>IFERROR(数据!F18/C18,"")</f>
        <v>0.00984350490989533</v>
      </c>
      <c r="G18">
        <f>IFERROR(数据!F18/AVERAGE(数据!$F$2:$F$32),"")</f>
        <v>0.964331030593543</v>
      </c>
      <c r="H18">
        <f>IF(数据!F18="","",RANK(数据!F18,数据!$F$2:$F$32,0))</f>
        <v>14</v>
      </c>
    </row>
    <row r="19" spans="1:8">
      <c r="A19" s="7" t="s">
        <v>25</v>
      </c>
      <c r="B19" s="1">
        <f>IFERROR(数据!B19/数据!C19*10000,"")</f>
        <v>81405.4136718153</v>
      </c>
      <c r="C19">
        <f>IFERROR(数据!D19/数据!B19*100,"")</f>
        <v>3.00841614848491</v>
      </c>
      <c r="D19">
        <f>IFERROR(数据!D19/数据!C19*10000,"")</f>
        <v>2449.01361064383</v>
      </c>
      <c r="E19">
        <f>IFERROR(数据!C19*数据!E19/(数据!F19*1000),"")</f>
        <v>2278.97692307692</v>
      </c>
      <c r="F19">
        <f>IFERROR(数据!F19/C19,"")</f>
        <v>0.00561757388801119</v>
      </c>
      <c r="G19">
        <f>IFERROR(数据!F19/AVERAGE(数据!$F$2:$F$32),"")</f>
        <v>0.714789228817144</v>
      </c>
      <c r="H19">
        <f>IF(数据!F19="","",RANK(数据!F19,数据!$F$2:$F$32,0))</f>
        <v>22</v>
      </c>
    </row>
    <row r="20" spans="1:8">
      <c r="A20" s="7" t="s">
        <v>26</v>
      </c>
      <c r="B20" s="1">
        <f>IFERROR(数据!B20/数据!C20*10000,"")</f>
        <v>110824.569640063</v>
      </c>
      <c r="C20">
        <f>IFERROR(数据!D20/数据!B20*100,"")</f>
        <v>2.86341960746658</v>
      </c>
      <c r="D20">
        <f>IFERROR(数据!D20/数据!C20*10000,"")</f>
        <v>3173.37245696401</v>
      </c>
      <c r="E20">
        <f>IFERROR(数据!C20*数据!E20/(数据!F20*1000),"")</f>
        <v>6722.73372781065</v>
      </c>
      <c r="F20">
        <f>IFERROR(数据!F20/C20,"")</f>
        <v>0.00590203404207053</v>
      </c>
      <c r="G20">
        <f>IFERROR(数据!F20/AVERAGE(数据!$F$2:$F$32),"")</f>
        <v>0.714789228817144</v>
      </c>
      <c r="H20">
        <f>IF(数据!F20="","",RANK(数据!F20,数据!$F$2:$F$32,0))</f>
        <v>22</v>
      </c>
    </row>
    <row r="21" spans="1:8">
      <c r="A21" s="7" t="s">
        <v>27</v>
      </c>
      <c r="B21" s="1">
        <f>IFERROR(数据!B21/数据!C21*10000,"")</f>
        <v>57150.2094554159</v>
      </c>
      <c r="C21">
        <f>IFERROR(数据!D21/数据!B21*100,"")</f>
        <v>4.2805433970694</v>
      </c>
      <c r="D21">
        <f>IFERROR(数据!D21/数据!C21*10000,"")</f>
        <v>2446.33951725514</v>
      </c>
      <c r="E21">
        <f>IFERROR(数据!C21*数据!E21/(数据!F21*1000),"")</f>
        <v>3018.61942446043</v>
      </c>
      <c r="F21">
        <f>IFERROR(数据!F21/C21,"")</f>
        <v>0.00324725127410609</v>
      </c>
      <c r="G21">
        <f>IFERROR(数据!F21/AVERAGE(数据!$F$2:$F$32),"")</f>
        <v>0.587903566896941</v>
      </c>
      <c r="H21">
        <f>IF(数据!F21="","",RANK(数据!F21,数据!$F$2:$F$32,0))</f>
        <v>25</v>
      </c>
    </row>
    <row r="22" spans="1:8">
      <c r="A22" s="7" t="s">
        <v>28</v>
      </c>
      <c r="B22" s="1">
        <f>IFERROR(数据!B22/数据!C22*10000,"")</f>
        <v>75722.3282442748</v>
      </c>
      <c r="C22">
        <f>IFERROR(数据!D22/数据!B22*100,"")</f>
        <v>4.56670489055786</v>
      </c>
      <c r="D22">
        <f>IFERROR(数据!D22/数据!C22*10000,"")</f>
        <v>3458.01526717557</v>
      </c>
      <c r="E22">
        <f>IFERROR(数据!C22*数据!E22/(数据!F22*1000),"")</f>
        <v>530.797837837838</v>
      </c>
      <c r="F22">
        <f>IFERROR(数据!F22/C22,"")</f>
        <v>0.00405106098233996</v>
      </c>
      <c r="G22">
        <f>IFERROR(数据!F22/AVERAGE(数据!$F$2:$F$32),"")</f>
        <v>0.782461581841252</v>
      </c>
      <c r="H22">
        <f>IF(数据!F22="","",RANK(数据!F22,数据!$F$2:$F$32,0))</f>
        <v>19</v>
      </c>
    </row>
    <row r="23" spans="1:8">
      <c r="A23" s="7" t="s">
        <v>29</v>
      </c>
      <c r="B23" s="1">
        <f>IFERROR(数据!B23/数据!C23*10000,"")</f>
        <v>100919.122257053</v>
      </c>
      <c r="C23">
        <f>IFERROR(数据!D23/数据!B23*100,"")</f>
        <v>2.66708497446666</v>
      </c>
      <c r="D23">
        <f>IFERROR(数据!D23/数据!C23*10000,"")</f>
        <v>2691.5987460815</v>
      </c>
      <c r="E23">
        <f>IFERROR(数据!C23*数据!E23/(数据!F23*1000),"")</f>
        <v>712.988805970149</v>
      </c>
      <c r="F23">
        <f>IFERROR(数据!F23/C23,"")</f>
        <v>0.010048423749738</v>
      </c>
      <c r="G23">
        <f>IFERROR(数据!F23/AVERAGE(数据!$F$2:$F$32),"")</f>
        <v>1.13351191315381</v>
      </c>
      <c r="H23">
        <f>IF(数据!F23="","",RANK(数据!F23,数据!$F$2:$F$32,0))</f>
        <v>9</v>
      </c>
    </row>
    <row r="24" spans="1:8">
      <c r="A24" s="7" t="s">
        <v>30</v>
      </c>
      <c r="B24" s="1">
        <f>IFERROR(数据!B24/数据!C24*10000,"")</f>
        <v>77351.7455762793</v>
      </c>
      <c r="C24">
        <f>IFERROR(数据!D24/数据!B24*100,"")</f>
        <v>3.04446883163052</v>
      </c>
      <c r="D24">
        <f>IFERROR(数据!D24/数据!C24*10000,"")</f>
        <v>2354.94978479197</v>
      </c>
      <c r="E24">
        <f>IFERROR(数据!C24*数据!E24/(数据!F24*1000),"")</f>
        <v>3028.99661016949</v>
      </c>
      <c r="F24">
        <f>IFERROR(数据!F24/C24,"")</f>
        <v>0.00581382204215913</v>
      </c>
      <c r="G24">
        <f>IFERROR(数据!F24/AVERAGE(数据!$F$2:$F$32),"")</f>
        <v>0.748625405329198</v>
      </c>
      <c r="H24">
        <f>IF(数据!F24="","",RANK(数据!F24,数据!$F$2:$F$32,0))</f>
        <v>20</v>
      </c>
    </row>
    <row r="25" spans="1:8">
      <c r="A25" s="7" t="s">
        <v>31</v>
      </c>
      <c r="B25" s="1">
        <f>IFERROR(数据!B25/数据!C25*10000,"")</f>
        <v>58723.0569948187</v>
      </c>
      <c r="C25">
        <f>IFERROR(数据!D25/数据!B25*100,"")</f>
        <v>5.33738325590834</v>
      </c>
      <c r="D25">
        <f>IFERROR(数据!D25/数据!C25*10000,"")</f>
        <v>3134.27461139896</v>
      </c>
      <c r="E25">
        <f>IFERROR(数据!C25*数据!E25/(数据!F25*1000),"")</f>
        <v>2709.56862745098</v>
      </c>
      <c r="F25">
        <f>IFERROR(数据!F25/C25,"")</f>
        <v>0.0028665732375623</v>
      </c>
      <c r="G25">
        <f>IFERROR(数据!F25/AVERAGE(数据!$F$2:$F$32),"")</f>
        <v>0.647116875793035</v>
      </c>
      <c r="H25">
        <f>IF(数据!F25="","",RANK(数据!F25,数据!$F$2:$F$32,0))</f>
        <v>24</v>
      </c>
    </row>
    <row r="26" spans="1:8">
      <c r="A26" s="7" t="s">
        <v>32</v>
      </c>
      <c r="B26" s="1">
        <f>IFERROR(数据!B26/数据!C26*10000,"")</f>
        <v>67742.4274973147</v>
      </c>
      <c r="C26">
        <f>IFERROR(数据!D26/数据!B26*100,"")</f>
        <v>3.79785692314035</v>
      </c>
      <c r="D26">
        <f>IFERROR(数据!D26/数据!C26*10000,"")</f>
        <v>2572.7604726101</v>
      </c>
      <c r="E26">
        <f>IFERROR(数据!C26*数据!E26/(数据!F26*1000),"")</f>
        <v>3489.22608695652</v>
      </c>
      <c r="F26">
        <f>IFERROR(数据!F26/C26,"")</f>
        <v>0.00302802349660159</v>
      </c>
      <c r="G26">
        <f>IFERROR(数据!F26/AVERAGE(数据!$F$2:$F$32),"")</f>
        <v>0.486395037360778</v>
      </c>
      <c r="H26">
        <f>IF(数据!F26="","",RANK(数据!F26,数据!$F$2:$F$32,0))</f>
        <v>29</v>
      </c>
    </row>
    <row r="27" spans="1:8">
      <c r="A27" s="7" t="s">
        <v>33</v>
      </c>
      <c r="B27" s="1">
        <f>IFERROR(数据!B27/数据!C27*10000,"")</f>
        <v>74727.027027027</v>
      </c>
      <c r="C27">
        <f>IFERROR(数据!D27/数据!B27*100,"")</f>
        <v>12.0666208542804</v>
      </c>
      <c r="D27">
        <f>IFERROR(数据!D27/数据!C27*10000,"")</f>
        <v>9017.02702702703</v>
      </c>
      <c r="E27" t="s">
        <v>34</v>
      </c>
      <c r="F27" t="s">
        <v>34</v>
      </c>
      <c r="G27" t="s">
        <v>34</v>
      </c>
      <c r="H27" t="s">
        <v>34</v>
      </c>
    </row>
    <row r="28" spans="1:8">
      <c r="A28" s="7" t="s">
        <v>35</v>
      </c>
      <c r="B28" s="1">
        <f>IFERROR(数据!B28/数据!C28*10000,"")</f>
        <v>89903.3645332659</v>
      </c>
      <c r="C28">
        <f>IFERROR(数据!D28/数据!B28*100,"")</f>
        <v>3.15019077740385</v>
      </c>
      <c r="D28">
        <f>IFERROR(数据!D28/数据!C28*10000,"")</f>
        <v>2832.12749810271</v>
      </c>
      <c r="E28">
        <f>IFERROR(数据!C28*数据!E28/(数据!F28*1000),"")</f>
        <v>982.908108108108</v>
      </c>
      <c r="F28">
        <f>IFERROR(数据!F28/C28,"")</f>
        <v>0.00939625631955982</v>
      </c>
      <c r="G28">
        <f>IFERROR(数据!F28/AVERAGE(数据!$F$2:$F$32),"")</f>
        <v>1.251938530946</v>
      </c>
      <c r="H28">
        <f>IF(数据!F28="","",RANK(数据!F28,数据!$F$2:$F$32,0))</f>
        <v>7</v>
      </c>
    </row>
    <row r="29" spans="1:8">
      <c r="A29" s="7" t="s">
        <v>36</v>
      </c>
      <c r="B29" s="1">
        <f>IFERROR(数据!B29/数据!C29*10000,"")</f>
        <v>52900.32546786</v>
      </c>
      <c r="C29">
        <f>IFERROR(数据!D29/数据!B29*100,"")</f>
        <v>5.56706580839659</v>
      </c>
      <c r="D29">
        <f>IFERROR(数据!D29/数据!C29*10000,"")</f>
        <v>2944.99593165175</v>
      </c>
      <c r="E29">
        <f>IFERROR(数据!C29*数据!E29/(数据!F29*1000),"")</f>
        <v>664.324324324324</v>
      </c>
      <c r="F29">
        <f>IFERROR(数据!F29/C29,"")</f>
        <v>0.00531698403050229</v>
      </c>
      <c r="G29">
        <f>IFERROR(数据!F29/AVERAGE(数据!$F$2:$F$32),"")</f>
        <v>1.251938530946</v>
      </c>
      <c r="H29">
        <f>IF(数据!F29="","",RANK(数据!F29,数据!$F$2:$F$32,0))</f>
        <v>7</v>
      </c>
    </row>
    <row r="30" spans="1:8">
      <c r="A30" s="7" t="s">
        <v>37</v>
      </c>
      <c r="B30" s="1">
        <f>IFERROR(数据!B30/数据!C30*10000,"")</f>
        <v>66623.9460370995</v>
      </c>
      <c r="C30">
        <f>IFERROR(数据!D30/数据!B30*100,"")</f>
        <v>5.87425331578414</v>
      </c>
      <c r="D30">
        <f>IFERROR(数据!D30/数据!C30*10000,"")</f>
        <v>3913.65935919056</v>
      </c>
      <c r="E30">
        <f>IFERROR(数据!C30*数据!E30/(数据!F30*1000),"")</f>
        <v>228.825572519084</v>
      </c>
      <c r="F30">
        <f>IFERROR(数据!F30/C30,"")</f>
        <v>0.00446014133057566</v>
      </c>
      <c r="G30">
        <f>IFERROR(数据!F30/AVERAGE(数据!$F$2:$F$32),"")</f>
        <v>1.10813478076977</v>
      </c>
      <c r="H30">
        <f>IF(数据!F30="","",RANK(数据!F30,数据!$F$2:$F$32,0))</f>
        <v>11</v>
      </c>
    </row>
    <row r="31" spans="1:8">
      <c r="A31" s="7" t="s">
        <v>38</v>
      </c>
      <c r="B31" s="1">
        <f>IFERROR(数据!B31/数据!C31*10000,"")</f>
        <v>75484.2249657064</v>
      </c>
      <c r="C31">
        <f>IFERROR(数据!D31/数据!B31*100,"")</f>
        <v>4.09591480700734</v>
      </c>
      <c r="D31">
        <f>IFERROR(数据!D31/数据!C31*10000,"")</f>
        <v>3091.7695473251</v>
      </c>
      <c r="E31">
        <f>IFERROR(数据!C31*数据!E31/(数据!F31*1000),"")</f>
        <v>392.016176470588</v>
      </c>
      <c r="F31">
        <f>IFERROR(数据!F31/C31,"")</f>
        <v>0.00498057234127512</v>
      </c>
      <c r="G31">
        <f>IFERROR(数据!F31/AVERAGE(数据!$F$2:$F$32),"")</f>
        <v>0.862822501057381</v>
      </c>
      <c r="H31">
        <f>IF(数据!F31="","",RANK(数据!F31,数据!$F$2:$F$32,0))</f>
        <v>16</v>
      </c>
    </row>
    <row r="32" spans="1:8">
      <c r="A32" s="7" t="s">
        <v>39</v>
      </c>
      <c r="B32" s="1">
        <f>IFERROR(数据!B32/数据!C32*10000,"")</f>
        <v>78284.7884102173</v>
      </c>
      <c r="C32">
        <f>IFERROR(数据!D32/数据!B32*100,"")</f>
        <v>5.92098022314102</v>
      </c>
      <c r="D32">
        <f>IFERROR(数据!D32/数据!C32*10000,"")</f>
        <v>4635.22683949676</v>
      </c>
      <c r="E32">
        <f>IFERROR(数据!C32*数据!E32/(数据!F32*1000),"")</f>
        <v>746.485196374622</v>
      </c>
      <c r="F32">
        <f>IFERROR(数据!F32/C32,"")</f>
        <v>0.0055902905857775</v>
      </c>
      <c r="G32">
        <f>IFERROR(数据!F32/AVERAGE(数据!$F$2:$F$32),"")</f>
        <v>1.39997180318624</v>
      </c>
      <c r="H32">
        <f>IF(数据!F32="","",RANK(数据!F32,数据!$F$2:$F$32,0))</f>
        <v>5</v>
      </c>
    </row>
    <row r="33" spans="2:4">
      <c r="B33" s="1" t="str">
        <f>IFERROR(数据!B33/数据!C33*10000,"")</f>
        <v/>
      </c>
      <c r="C33" t="str">
        <f>IFERROR(数据!D33/数据!B33*100,"")</f>
        <v/>
      </c>
      <c r="D33" t="str">
        <f>IFERROR(数据!D33/数据!C33*10000,"")</f>
        <v/>
      </c>
    </row>
    <row r="34" spans="2:4">
      <c r="B34" s="1" t="str">
        <f>IFERROR(数据!B34/数据!C34*10000,"")</f>
        <v/>
      </c>
      <c r="D34" t="str">
        <f>IFERROR(数据!D34/数据!C34*10000,"")</f>
        <v/>
      </c>
    </row>
    <row r="35" spans="2:2">
      <c r="B35" s="1" t="str">
        <f>IFERROR(数据!B35/数据!C35*10000,"")</f>
        <v/>
      </c>
    </row>
    <row r="36" spans="2:2">
      <c r="B36" s="1" t="str">
        <f>IFERROR(数据!B36/数据!C36*10000,"")</f>
        <v/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H6" sqref="H6"/>
    </sheetView>
  </sheetViews>
  <sheetFormatPr defaultColWidth="9" defaultRowHeight="14"/>
  <cols>
    <col min="2" max="2" width="12.8181818181818"/>
    <col min="8" max="8" width="12.8181818181818"/>
  </cols>
  <sheetData>
    <row r="1" spans="1:14">
      <c r="A1" s="1" t="s">
        <v>47</v>
      </c>
      <c r="B1" s="1" t="s">
        <v>48</v>
      </c>
      <c r="C1" s="1" t="s">
        <v>49</v>
      </c>
      <c r="E1" s="1" t="s">
        <v>50</v>
      </c>
      <c r="F1" s="1" t="s">
        <v>0</v>
      </c>
      <c r="G1" s="1" t="s">
        <v>51</v>
      </c>
      <c r="H1" s="1" t="s">
        <v>52</v>
      </c>
      <c r="J1" s="1" t="s">
        <v>53</v>
      </c>
      <c r="K1" s="2" t="s">
        <v>54</v>
      </c>
      <c r="L1" s="2" t="s">
        <v>55</v>
      </c>
      <c r="M1" s="2" t="s">
        <v>56</v>
      </c>
      <c r="N1" s="2" t="s">
        <v>57</v>
      </c>
    </row>
    <row r="2" spans="1:14">
      <c r="A2" s="1" t="s">
        <v>58</v>
      </c>
      <c r="B2">
        <f>MAX(数据!F2:F32)</f>
        <v>0.0555</v>
      </c>
      <c r="E2" s="1" t="s">
        <v>59</v>
      </c>
      <c r="F2" t="str" cm="1">
        <f t="array" ref="F2">INDEX(指标!A:A,MATCH(1,指标!H:H,0))</f>
        <v>北京市</v>
      </c>
      <c r="G2">
        <f>VLOOKUP(F2,数据!A:F,6,FALSE)</f>
        <v>0.0555</v>
      </c>
      <c r="H2">
        <f>VLOOKUP(F2,指标!A:C,3,FALSE)</f>
        <v>2.5021517521984</v>
      </c>
      <c r="J2" s="1" t="s">
        <v>60</v>
      </c>
      <c r="K2">
        <f>COUNTIFS(指标!C:C,"&gt;"&amp;AVERAGE(指标!C:C),数据!F:F,"&gt;"&amp;AVERAGE(数据!F:F))</f>
        <v>3</v>
      </c>
      <c r="L2">
        <f>COUNTIFS(指标!C:C,"&gt;"&amp;AVERAGE(指标!C:C),数据!F:F,"&lt;="&amp;AVERAGE(数据!F:F))</f>
        <v>7</v>
      </c>
      <c r="M2">
        <f>COUNTIFS(指标!C:C,"&lt;="&amp;AVERAGE(指标!C:C),数据!F:F,"&gt;"&amp;AVERAGE(数据!F:F))</f>
        <v>9</v>
      </c>
      <c r="N2">
        <f>COUNTIFS(指标!C:C,"&lt;="&amp;AVERAGE(指标!C:C),数据!F:F,"&lt;="&amp;AVERAGE(数据!F:F))</f>
        <v>11</v>
      </c>
    </row>
    <row r="3" spans="1:8">
      <c r="A3" s="1" t="s">
        <v>61</v>
      </c>
      <c r="B3" s="1">
        <f>MAX(数据!G5:G35)</f>
        <v>0.1238</v>
      </c>
      <c r="C3" s="1"/>
      <c r="E3" s="1" t="s">
        <v>62</v>
      </c>
      <c r="F3" t="str" cm="1">
        <f t="array" ref="F3">INDEX(指标!A:A,MATCH(2,指标!H:H,0))</f>
        <v>吉林省</v>
      </c>
      <c r="G3">
        <f>VLOOKUP(F3,数据!A:F,6,FALSE)</f>
        <v>0.047</v>
      </c>
      <c r="H3">
        <f>VLOOKUP(F3,指标!A:C,3,FALSE)</f>
        <v>3.75574464529426</v>
      </c>
    </row>
    <row r="4" spans="1:8">
      <c r="A4" s="1" t="s">
        <v>63</v>
      </c>
      <c r="B4" s="1">
        <f>MIN(数据!G6:G36)</f>
        <v>0.0289</v>
      </c>
      <c r="E4" s="1" t="s">
        <v>64</v>
      </c>
      <c r="F4" t="str" cm="1">
        <f t="array" ref="F4">INDEX(指标!A:A,MATCH(3,指标!H:H,0))</f>
        <v>天津市</v>
      </c>
      <c r="G4">
        <f>VLOOKUP(F4,数据!A:F,6,FALSE)</f>
        <v>0.0391</v>
      </c>
      <c r="H4">
        <f>VLOOKUP(F4,指标!A:C,3,FALSE)</f>
        <v>2.77414379476595</v>
      </c>
    </row>
    <row r="5" spans="1:8">
      <c r="A5" s="1" t="s">
        <v>65</v>
      </c>
      <c r="B5">
        <f>AVERAGE(指标!C2:C32)</f>
        <v>3.75804354959886</v>
      </c>
      <c r="E5" s="1" t="s">
        <v>66</v>
      </c>
      <c r="F5" t="str" cm="1">
        <f t="array" ref="F5">INDEX(指标!A:A,MATCH(4,指标!H:H,0))</f>
        <v>上海市</v>
      </c>
      <c r="G5">
        <f>VLOOKUP(F5,数据!A:F,6,FALSE)</f>
        <v>0.0363</v>
      </c>
      <c r="H5">
        <f>VLOOKUP(F5,指标!A:C,3,FALSE)</f>
        <v>2.28801317343728</v>
      </c>
    </row>
    <row r="6" spans="1:8">
      <c r="A6" s="1" t="s">
        <v>67</v>
      </c>
      <c r="B6" s="1">
        <f>MAX(指标!F2:F32)</f>
        <v>0.0221809088722287</v>
      </c>
      <c r="E6" s="1" t="s">
        <v>68</v>
      </c>
      <c r="F6" t="str" cm="1">
        <f t="array" ref="F6">INDEX(指标!A:A,MATCH(5,指标!H:H,0))</f>
        <v>新疆维吾尔自治区</v>
      </c>
      <c r="G6">
        <f>VLOOKUP(F6,数据!A:F,6,FALSE)</f>
        <v>0.0331</v>
      </c>
      <c r="H6">
        <f>VLOOKUP(F6,指标!A:C,3,FALSE)</f>
        <v>5.92098022314102</v>
      </c>
    </row>
    <row r="7" spans="1:8">
      <c r="A7" s="1" t="s">
        <v>69</v>
      </c>
      <c r="B7">
        <f>MAX(指标!E2:E32)</f>
        <v>7848.17525773196</v>
      </c>
      <c r="E7" s="1" t="s">
        <v>70</v>
      </c>
      <c r="F7" t="str" cm="1">
        <f t="array" ref="F7">INDEX(指标!A:A,MATCH(6,指标!H:H,0))</f>
        <v>辽宁省</v>
      </c>
      <c r="G7">
        <f>VLOOKUP(F7,数据!A:F,6,FALSE)</f>
        <v>0.031</v>
      </c>
      <c r="H7">
        <f>VLOOKUP(F7,指标!A:C,3,FALSE)</f>
        <v>2.27184501743186</v>
      </c>
    </row>
    <row r="8" spans="1:5">
      <c r="A8" s="1" t="s">
        <v>71</v>
      </c>
      <c r="B8">
        <f>STDEV(指标!C2:C32)</f>
        <v>1.88183384747949</v>
      </c>
      <c r="E8" s="1"/>
    </row>
    <row r="9" spans="1:5">
      <c r="A9" s="1" t="s">
        <v>72</v>
      </c>
      <c r="B9">
        <f>STDEV(数据!F2:F32)</f>
        <v>0.0106515559275704</v>
      </c>
      <c r="E9" s="1"/>
    </row>
    <row r="10" spans="1:5">
      <c r="A10" s="1" t="s">
        <v>73</v>
      </c>
      <c r="B10" cm="1">
        <f t="array" ref="B10">CORREL(数据!B2:B32,数据!F2:F32)</f>
        <v>-0.246318550393708</v>
      </c>
      <c r="E10" s="1"/>
    </row>
    <row r="11" spans="5:5">
      <c r="E11" s="1"/>
    </row>
    <row r="12" spans="5:5">
      <c r="E12" s="1"/>
    </row>
    <row r="13" spans="5:5">
      <c r="E13" s="1"/>
    </row>
    <row r="14" spans="5:5">
      <c r="E14" s="1"/>
    </row>
    <row r="15" spans="5:5">
      <c r="E15" s="1"/>
    </row>
    <row r="16" spans="5:5">
      <c r="E16" s="1"/>
    </row>
    <row r="17" spans="5:5">
      <c r="E17" s="1"/>
    </row>
    <row r="18" spans="5:5">
      <c r="E18" s="1"/>
    </row>
    <row r="19" spans="5:5">
      <c r="E19" s="1"/>
    </row>
    <row r="20" spans="5:5">
      <c r="E20" s="1"/>
    </row>
    <row r="21" spans="5:5">
      <c r="E21" s="1"/>
    </row>
    <row r="22" spans="5:5">
      <c r="E22" s="1"/>
    </row>
    <row r="23" spans="5:5">
      <c r="E23" s="1"/>
    </row>
    <row r="24" spans="5:5">
      <c r="E24" s="1"/>
    </row>
    <row r="25" spans="5:5">
      <c r="E25" s="1"/>
    </row>
    <row r="26" spans="5:5">
      <c r="E26" s="1"/>
    </row>
    <row r="27" spans="5:5">
      <c r="E27" s="1"/>
    </row>
    <row r="28" spans="5:5">
      <c r="E28" s="1"/>
    </row>
    <row r="29" spans="5:5">
      <c r="E29" s="1"/>
    </row>
    <row r="30" spans="5:5">
      <c r="E30" s="1"/>
    </row>
    <row r="31" spans="5:5">
      <c r="E31" s="1"/>
    </row>
    <row r="32" spans="5:5">
      <c r="E32" s="1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opLeftCell="D1" workbookViewId="0">
      <selection activeCell="C2" sqref="C2"/>
    </sheetView>
  </sheetViews>
  <sheetFormatPr defaultColWidth="8.72727272727273" defaultRowHeight="14" outlineLevelCol="3"/>
  <cols>
    <col min="1" max="2" width="12.8181818181818"/>
  </cols>
  <sheetData>
    <row r="1" spans="1:4">
      <c r="A1" s="1" t="s">
        <v>0</v>
      </c>
      <c r="B1" s="2" t="s">
        <v>52</v>
      </c>
      <c r="C1" s="3" t="s">
        <v>74</v>
      </c>
      <c r="D1" s="2" t="s">
        <v>75</v>
      </c>
    </row>
    <row r="2" ht="26" spans="1:4">
      <c r="A2" s="3" t="str">
        <f>指标!A2</f>
        <v>北京市</v>
      </c>
      <c r="B2" s="1">
        <f>指标!C2</f>
        <v>2.5021517521984</v>
      </c>
      <c r="C2" s="1">
        <f>数据!F2*100</f>
        <v>5.55</v>
      </c>
      <c r="D2" s="6" t="str">
        <f>IF(AND(B2&gt;AVERAGE($B$2:$B$32),C2&gt;AVERAGE($C$2:$C$32)),"高投入高产出",IF(AND(B2&gt;AVERAGE($B$2:$B$32),C2&lt;=AVERAGE($C$2:$C$32)),"高投入低产出",IF(AND(B2&lt;=AVERAGE($B$2:$B$32),C2&gt;AVERAGE($C$2:$C$32)),"低投入高产出","低投入低产出")))</f>
        <v>低投入高产出</v>
      </c>
    </row>
    <row r="3" ht="26" spans="1:4">
      <c r="A3" s="3" t="str">
        <f>指标!A3</f>
        <v>天津市</v>
      </c>
      <c r="B3" s="1">
        <f>指标!C3</f>
        <v>2.77414379476595</v>
      </c>
      <c r="C3" s="1">
        <f>数据!F3*100</f>
        <v>3.91</v>
      </c>
      <c r="D3" s="6" t="str">
        <f t="shared" ref="D3:D32" si="0">IF(AND(B3&gt;AVERAGE($B$2:$B$32),C3&gt;AVERAGE($C$2:$C$32)),"高投入高产出",IF(AND(B3&gt;AVERAGE($B$2:$B$32),C3&lt;=AVERAGE($C$2:$C$32)),"高投入低产出",IF(AND(B3&lt;=AVERAGE($B$2:$B$32),C3&gt;AVERAGE($C$2:$C$32)),"低投入高产出","低投入低产出")))</f>
        <v>低投入高产出</v>
      </c>
    </row>
    <row r="4" ht="26" spans="1:4">
      <c r="A4" s="3" t="str">
        <f>指标!A4</f>
        <v>河北省</v>
      </c>
      <c r="B4" s="1">
        <f>指标!C4</f>
        <v>3.84801028470193</v>
      </c>
      <c r="C4" s="1">
        <f>数据!F4*100</f>
        <v>1.16</v>
      </c>
      <c r="D4" s="6" t="str">
        <f t="shared" si="0"/>
        <v>高投入低产出</v>
      </c>
    </row>
    <row r="5" ht="26" spans="1:4">
      <c r="A5" s="3" t="str">
        <f>指标!A5</f>
        <v>山西省</v>
      </c>
      <c r="B5" s="1">
        <f>指标!C5</f>
        <v>3.6168301647009</v>
      </c>
      <c r="C5" s="1">
        <f>数据!F5*100</f>
        <v>1.9</v>
      </c>
      <c r="D5" s="6" t="str">
        <f t="shared" si="0"/>
        <v>低投入低产出</v>
      </c>
    </row>
    <row r="6" ht="26" spans="1:4">
      <c r="A6" s="3" t="str">
        <f>指标!A6</f>
        <v>内蒙古自治区</v>
      </c>
      <c r="B6" s="1">
        <f>指标!C6</f>
        <v>2.97800460580818</v>
      </c>
      <c r="C6" s="1">
        <f>数据!F6*100</f>
        <v>2.64</v>
      </c>
      <c r="D6" s="6" t="str">
        <f t="shared" si="0"/>
        <v>低投入高产出</v>
      </c>
    </row>
    <row r="7" ht="26" spans="1:4">
      <c r="A7" s="3" t="str">
        <f>指标!A7</f>
        <v>辽宁省</v>
      </c>
      <c r="B7" s="1">
        <f>指标!C7</f>
        <v>2.27184501743186</v>
      </c>
      <c r="C7" s="1">
        <f>数据!F7*100</f>
        <v>3.1</v>
      </c>
      <c r="D7" s="6" t="str">
        <f t="shared" si="0"/>
        <v>低投入高产出</v>
      </c>
    </row>
    <row r="8" ht="26" spans="1:4">
      <c r="A8" s="3" t="str">
        <f>指标!A8</f>
        <v>吉林省</v>
      </c>
      <c r="B8" s="1">
        <f>指标!C8</f>
        <v>3.75574464529426</v>
      </c>
      <c r="C8" s="1">
        <f>数据!F8*100</f>
        <v>4.7</v>
      </c>
      <c r="D8" s="6" t="str">
        <f t="shared" si="0"/>
        <v>低投入高产出</v>
      </c>
    </row>
    <row r="9" ht="26" spans="1:4">
      <c r="A9" s="3" t="str">
        <f>指标!A9</f>
        <v>黑龙江省</v>
      </c>
      <c r="B9" s="1">
        <f>指标!C9</f>
        <v>3.73917423787241</v>
      </c>
      <c r="C9" s="1">
        <f>数据!F9*100</f>
        <v>2.46</v>
      </c>
      <c r="D9" s="6" t="str">
        <f t="shared" si="0"/>
        <v>低投入高产出</v>
      </c>
    </row>
    <row r="10" ht="26" spans="1:4">
      <c r="A10" s="3" t="str">
        <f>指标!A10</f>
        <v>上海市</v>
      </c>
      <c r="B10" s="1">
        <f>指标!C10</f>
        <v>2.28801317343728</v>
      </c>
      <c r="C10" s="1">
        <f>数据!F10*100</f>
        <v>3.63</v>
      </c>
      <c r="D10" s="6" t="str">
        <f t="shared" si="0"/>
        <v>低投入高产出</v>
      </c>
    </row>
    <row r="11" ht="26" spans="1:4">
      <c r="A11" s="3" t="str">
        <f>指标!A11</f>
        <v>江苏省</v>
      </c>
      <c r="B11" s="1">
        <f>指标!C11</f>
        <v>2.0129481490132</v>
      </c>
      <c r="C11" s="1">
        <f>数据!F11*100</f>
        <v>1.88</v>
      </c>
      <c r="D11" s="6" t="str">
        <f t="shared" si="0"/>
        <v>低投入低产出</v>
      </c>
    </row>
    <row r="12" ht="26" spans="1:4">
      <c r="A12" s="3" t="str">
        <f>指标!A12</f>
        <v>浙江省</v>
      </c>
      <c r="B12" s="1">
        <f>指标!C12</f>
        <v>2.74581551659481</v>
      </c>
      <c r="C12" s="1">
        <f>数据!F12*100</f>
        <v>2.26</v>
      </c>
      <c r="D12" s="6" t="str">
        <f t="shared" si="0"/>
        <v>低投入低产出</v>
      </c>
    </row>
    <row r="13" ht="26" spans="1:4">
      <c r="A13" s="3" t="str">
        <f>指标!A13</f>
        <v>安徽省</v>
      </c>
      <c r="B13" s="1">
        <f>指标!C13</f>
        <v>3.07886191066899</v>
      </c>
      <c r="C13" s="1">
        <f>数据!F13*100</f>
        <v>1.39</v>
      </c>
      <c r="D13" s="6" t="str">
        <f t="shared" si="0"/>
        <v>低投入低产出</v>
      </c>
    </row>
    <row r="14" ht="26" spans="1:4">
      <c r="A14" s="3" t="str">
        <f>指标!A14</f>
        <v>福建省</v>
      </c>
      <c r="B14" s="1">
        <f>指标!C14</f>
        <v>2.22889146656048</v>
      </c>
      <c r="C14" s="1">
        <f>数据!F14*100</f>
        <v>2.33</v>
      </c>
      <c r="D14" s="6" t="str">
        <f t="shared" si="0"/>
        <v>低投入低产出</v>
      </c>
    </row>
    <row r="15" ht="26" spans="1:4">
      <c r="A15" s="3" t="str">
        <f>指标!A15</f>
        <v>江西省</v>
      </c>
      <c r="B15" s="1">
        <f>指标!C15</f>
        <v>4.07405891382209</v>
      </c>
      <c r="C15" s="1">
        <f>数据!F15*100</f>
        <v>1.38</v>
      </c>
      <c r="D15" s="6" t="str">
        <f t="shared" si="0"/>
        <v>高投入低产出</v>
      </c>
    </row>
    <row r="16" ht="26" spans="1:4">
      <c r="A16" s="3" t="str">
        <f>指标!A16</f>
        <v>山东省</v>
      </c>
      <c r="B16" s="1">
        <f>指标!C16</f>
        <v>2.78873605246444</v>
      </c>
      <c r="C16" s="1">
        <f>数据!F16*100</f>
        <v>1.75</v>
      </c>
      <c r="D16" s="6" t="str">
        <f t="shared" si="0"/>
        <v>低投入低产出</v>
      </c>
    </row>
    <row r="17" ht="26" spans="1:4">
      <c r="A17" s="3" t="str">
        <f>指标!A17</f>
        <v>河南省</v>
      </c>
      <c r="B17" s="1">
        <f>指标!C17</f>
        <v>3.23896839125649</v>
      </c>
      <c r="C17" s="1">
        <f>数据!F17*100</f>
        <v>0.97</v>
      </c>
      <c r="D17" s="6" t="str">
        <f t="shared" si="0"/>
        <v>低投入低产出</v>
      </c>
    </row>
    <row r="18" ht="26" spans="1:4">
      <c r="A18" s="3" t="str">
        <f>指标!A18</f>
        <v>湖北省</v>
      </c>
      <c r="B18" s="1">
        <f>指标!C18</f>
        <v>2.31624814623498</v>
      </c>
      <c r="C18" s="1">
        <f>数据!F18*100</f>
        <v>2.28</v>
      </c>
      <c r="D18" s="6" t="str">
        <f t="shared" si="0"/>
        <v>低投入低产出</v>
      </c>
    </row>
    <row r="19" ht="26" spans="1:4">
      <c r="A19" s="3" t="str">
        <f>指标!A19</f>
        <v>湖南省</v>
      </c>
      <c r="B19" s="1">
        <f>指标!C19</f>
        <v>3.00841614848491</v>
      </c>
      <c r="C19" s="1">
        <f>数据!F19*100</f>
        <v>1.69</v>
      </c>
      <c r="D19" s="6" t="str">
        <f t="shared" si="0"/>
        <v>低投入低产出</v>
      </c>
    </row>
    <row r="20" ht="26" spans="1:4">
      <c r="A20" s="3" t="str">
        <f>指标!A20</f>
        <v>广东省</v>
      </c>
      <c r="B20" s="1">
        <f>指标!C20</f>
        <v>2.86341960746658</v>
      </c>
      <c r="C20" s="1">
        <f>数据!F20*100</f>
        <v>1.69</v>
      </c>
      <c r="D20" s="6" t="str">
        <f t="shared" si="0"/>
        <v>低投入低产出</v>
      </c>
    </row>
    <row r="21" ht="26" spans="1:4">
      <c r="A21" s="3" t="str">
        <f>指标!A21</f>
        <v>广西壮族自治区</v>
      </c>
      <c r="B21" s="1">
        <f>指标!C21</f>
        <v>4.2805433970694</v>
      </c>
      <c r="C21" s="1">
        <f>数据!F21*100</f>
        <v>1.39</v>
      </c>
      <c r="D21" s="6" t="str">
        <f t="shared" si="0"/>
        <v>高投入低产出</v>
      </c>
    </row>
    <row r="22" ht="26" spans="1:4">
      <c r="A22" s="3" t="str">
        <f>指标!A22</f>
        <v>海南省</v>
      </c>
      <c r="B22" s="1">
        <f>指标!C22</f>
        <v>4.56670489055786</v>
      </c>
      <c r="C22" s="1">
        <f>数据!F22*100</f>
        <v>1.85</v>
      </c>
      <c r="D22" s="6" t="str">
        <f t="shared" si="0"/>
        <v>高投入低产出</v>
      </c>
    </row>
    <row r="23" ht="26" spans="1:4">
      <c r="A23" s="3" t="str">
        <f>指标!A23</f>
        <v>重庆市</v>
      </c>
      <c r="B23" s="1">
        <f>指标!C23</f>
        <v>2.66708497446666</v>
      </c>
      <c r="C23" s="1">
        <f>数据!F23*100</f>
        <v>2.68</v>
      </c>
      <c r="D23" s="6" t="str">
        <f t="shared" si="0"/>
        <v>低投入高产出</v>
      </c>
    </row>
    <row r="24" ht="26" spans="1:4">
      <c r="A24" s="3" t="str">
        <f>指标!A24</f>
        <v>四川省</v>
      </c>
      <c r="B24" s="1">
        <f>指标!C24</f>
        <v>3.04446883163052</v>
      </c>
      <c r="C24" s="1">
        <f>数据!F24*100</f>
        <v>1.77</v>
      </c>
      <c r="D24" s="6" t="str">
        <f t="shared" si="0"/>
        <v>低投入低产出</v>
      </c>
    </row>
    <row r="25" ht="26" spans="1:4">
      <c r="A25" s="3" t="str">
        <f>指标!A25</f>
        <v>贵州省</v>
      </c>
      <c r="B25" s="1">
        <f>指标!C25</f>
        <v>5.33738325590834</v>
      </c>
      <c r="C25" s="1">
        <f>数据!F25*100</f>
        <v>1.53</v>
      </c>
      <c r="D25" s="6" t="str">
        <f t="shared" si="0"/>
        <v>高投入低产出</v>
      </c>
    </row>
    <row r="26" ht="26" spans="1:4">
      <c r="A26" s="3" t="str">
        <f>指标!A26</f>
        <v>云南省</v>
      </c>
      <c r="B26" s="1">
        <f>指标!C26</f>
        <v>3.79785692314035</v>
      </c>
      <c r="C26" s="1">
        <f>数据!F26*100</f>
        <v>1.15</v>
      </c>
      <c r="D26" s="6" t="str">
        <f t="shared" si="0"/>
        <v>高投入低产出</v>
      </c>
    </row>
    <row r="27" spans="1:4">
      <c r="A27" s="3" t="str">
        <f>指标!A27</f>
        <v>西藏自治区</v>
      </c>
      <c r="B27" s="1">
        <f>指标!C27</f>
        <v>12.0666208542804</v>
      </c>
      <c r="C27" s="1"/>
      <c r="D27" s="6"/>
    </row>
    <row r="28" ht="26" spans="1:4">
      <c r="A28" s="3" t="str">
        <f>指标!A28</f>
        <v>陕西省</v>
      </c>
      <c r="B28" s="1">
        <f>指标!C28</f>
        <v>3.15019077740385</v>
      </c>
      <c r="C28" s="1">
        <f>数据!F28*100</f>
        <v>2.96</v>
      </c>
      <c r="D28" s="6" t="str">
        <f t="shared" si="0"/>
        <v>低投入高产出</v>
      </c>
    </row>
    <row r="29" ht="26" spans="1:4">
      <c r="A29" s="3" t="str">
        <f>指标!A29</f>
        <v>甘肃省</v>
      </c>
      <c r="B29" s="1">
        <f>指标!C29</f>
        <v>5.56706580839659</v>
      </c>
      <c r="C29" s="1">
        <f>数据!F29*100</f>
        <v>2.96</v>
      </c>
      <c r="D29" s="6" t="str">
        <f t="shared" si="0"/>
        <v>高投入高产出</v>
      </c>
    </row>
    <row r="30" ht="26" spans="1:4">
      <c r="A30" s="3" t="str">
        <f>指标!A30</f>
        <v>青海省</v>
      </c>
      <c r="B30" s="1">
        <f>指标!C30</f>
        <v>5.87425331578414</v>
      </c>
      <c r="C30" s="1">
        <f>数据!F30*100</f>
        <v>2.62</v>
      </c>
      <c r="D30" s="6" t="str">
        <f t="shared" si="0"/>
        <v>高投入高产出</v>
      </c>
    </row>
    <row r="31" ht="26" spans="1:4">
      <c r="A31" s="3" t="str">
        <f>指标!A31</f>
        <v>宁夏回族自治区</v>
      </c>
      <c r="B31" s="1">
        <f>指标!C31</f>
        <v>4.09591480700734</v>
      </c>
      <c r="C31" s="1">
        <f>数据!F31*100</f>
        <v>2.04</v>
      </c>
      <c r="D31" s="6" t="str">
        <f t="shared" si="0"/>
        <v>高投入低产出</v>
      </c>
    </row>
    <row r="32" ht="26" spans="1:4">
      <c r="A32" s="3" t="str">
        <f>指标!A32</f>
        <v>新疆维吾尔自治区</v>
      </c>
      <c r="B32" s="1">
        <f>指标!C32</f>
        <v>5.92098022314102</v>
      </c>
      <c r="C32" s="1">
        <f>数据!F32*100</f>
        <v>3.31</v>
      </c>
      <c r="D32" s="6" t="str">
        <f t="shared" si="0"/>
        <v>高投入高产出</v>
      </c>
    </row>
    <row r="33" spans="1:1">
      <c r="A33" s="3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zoomScale="70" zoomScaleNormal="70" workbookViewId="0">
      <selection activeCell="J36" sqref="J36"/>
    </sheetView>
  </sheetViews>
  <sheetFormatPr defaultColWidth="8.72727272727273" defaultRowHeight="14" outlineLevelCol="7"/>
  <cols>
    <col min="3" max="6" width="12.8181818181818"/>
    <col min="8" max="9" width="14"/>
  </cols>
  <sheetData>
    <row r="1" spans="1:8">
      <c r="A1" s="1" t="s">
        <v>76</v>
      </c>
      <c r="B1" s="1" t="s">
        <v>0</v>
      </c>
      <c r="C1" s="1" t="s">
        <v>77</v>
      </c>
      <c r="D1" s="1" t="s">
        <v>78</v>
      </c>
      <c r="E1" s="1" t="s">
        <v>79</v>
      </c>
      <c r="F1" s="1" t="s">
        <v>80</v>
      </c>
      <c r="H1" s="1" t="s">
        <v>81</v>
      </c>
    </row>
    <row r="2" spans="1:8">
      <c r="A2">
        <v>1</v>
      </c>
      <c r="B2" s="3" t="str">
        <f>指标!A2</f>
        <v>北京市</v>
      </c>
      <c r="C2">
        <f>IF(数据!A2="西藏自治区",0,数据!C2/SUMIF(数据!$A$2:$A$32,"&lt;&gt;西藏自治区",数据!$C$2:$C$32)*100)</f>
        <v>1.55641745925366</v>
      </c>
      <c r="D2">
        <f>IF(数据!A2="西藏自治区",0,数据!F2/SUMIF(数据!$A$2:$A$32,"&lt;&gt;西藏自治区",数据!$F$2:$F$32)*100)</f>
        <v>7.82461581841252</v>
      </c>
      <c r="E2" s="1">
        <f>IF(A2=1,C2,E1+C2)</f>
        <v>1.55641745925366</v>
      </c>
      <c r="F2" s="5">
        <f>IF(A2=1,D2,F1+D2)</f>
        <v>7.82461581841252</v>
      </c>
      <c r="H2" s="5" cm="1">
        <f t="array" ref="H2">_xlfn.LET(_xlpm.pop_share,_xlfn._xlws.FILTER(数据!C2:C32/SUMIF(数据!$A$2:$A$32,"&lt;&gt;西藏自治区",数据!$C$2:$C$32),数据!A2:A32&lt;&gt;"西藏自治区"),_xlpm.edu_share,_xlfn._xlws.FILTER(数据!F2:F32/SUMIF(数据!$A$2:$A$32,"&lt;&gt;西藏自治区",数据!$F$2:$F$32),数据!A2:A32&lt;&gt;"西藏自治区"),_xlpm.sorted_pop,_xlfn.SORTBY(_xlpm.pop_share,_xlpm.edu_share),_xlpm.sorted_edu,_xlfn._xlws.SORT(_xlpm.edu_share),_xlpm.cum_pop,_xlfn.SCAN(0,_xlpm.sorted_pop,_xlfn.LAMBDA(_xlpm.a,_xlpm.b,_xlpm.a+_xlpm.b)),_xlpm.cum_edu,_xlfn.SCAN(0,_xlpm.sorted_edu,_xlfn.LAMBDA(_xlpm.a,_xlpm.b,_xlpm.a+_xlpm.b)),1-SUM((_xlfn.DROP(_xlpm.cum_pop,1)-_xlfn.DROP(_xlpm.cum_pop,-1))*(_xlfn.DROP(_xlpm.cum_edu,1)+_xlfn.DROP(_xlpm.cum_edu,-1)))/2)</f>
        <v>0.720906646052611</v>
      </c>
    </row>
    <row r="3" spans="1:6">
      <c r="A3">
        <v>2</v>
      </c>
      <c r="B3" s="3" t="str">
        <f>指标!A3</f>
        <v>天津市</v>
      </c>
      <c r="C3">
        <f>IF(数据!A3="西藏自治区",0,数据!C3/SUMIF(数据!$A$2:$A$32,"&lt;&gt;西藏自治区",数据!$C$2:$C$32)*100)</f>
        <v>0.972493547605128</v>
      </c>
      <c r="D3">
        <f>IF(数据!A3="西藏自治区",0,数据!F3/SUMIF(数据!$A$2:$A$32,"&lt;&gt;西藏自治区",数据!$F$2:$F$32)*100)</f>
        <v>5.51247709008882</v>
      </c>
      <c r="E3" s="1">
        <f t="shared" ref="E3:E32" si="0">IF(A3=1,C3,E2+C3)</f>
        <v>2.52891100685879</v>
      </c>
      <c r="F3" s="5">
        <f t="shared" ref="F3:F32" si="1">IF(A3=1,D3,F2+D3)</f>
        <v>13.3370929085013</v>
      </c>
    </row>
    <row r="4" spans="1:6">
      <c r="A4">
        <v>3</v>
      </c>
      <c r="B4" s="3" t="str">
        <f>指标!A4</f>
        <v>河北省</v>
      </c>
      <c r="C4">
        <f>IF(数据!A4="西藏自治区",0,数据!C4/SUMIF(数据!$A$2:$A$32,"&lt;&gt;西藏自治区",数据!$C$2:$C$32)*100)</f>
        <v>5.26030600750046</v>
      </c>
      <c r="D4">
        <f>IF(数据!A4="西藏自治区",0,数据!F4/SUMIF(数据!$A$2:$A$32,"&lt;&gt;西藏自治区",数据!$F$2:$F$32)*100)</f>
        <v>1.63541519808262</v>
      </c>
      <c r="E4" s="1">
        <f t="shared" si="0"/>
        <v>7.78921701435925</v>
      </c>
      <c r="F4" s="5">
        <f t="shared" si="1"/>
        <v>14.972508106584</v>
      </c>
    </row>
    <row r="5" spans="1:6">
      <c r="A5">
        <v>4</v>
      </c>
      <c r="B5" s="3" t="str">
        <f>指标!A5</f>
        <v>山西省</v>
      </c>
      <c r="C5">
        <f>IF(数据!A5="西藏自治区",0,数据!C5/SUMIF(数据!$A$2:$A$32,"&lt;&gt;西藏自治区",数据!$C$2:$C$32)*100)</f>
        <v>2.45690085414023</v>
      </c>
      <c r="D5">
        <f>IF(数据!A5="西藏自治区",0,数据!F5/SUMIF(数据!$A$2:$A$32,"&lt;&gt;西藏自治区",数据!$F$2:$F$32)*100)</f>
        <v>2.67869730720429</v>
      </c>
      <c r="E5" s="1">
        <f t="shared" si="0"/>
        <v>10.2461178684995</v>
      </c>
      <c r="F5" s="5">
        <f t="shared" si="1"/>
        <v>17.6512054137882</v>
      </c>
    </row>
    <row r="6" spans="1:6">
      <c r="A6">
        <v>5</v>
      </c>
      <c r="B6" s="3" t="str">
        <f>指标!A6</f>
        <v>内蒙古自治区</v>
      </c>
      <c r="C6">
        <f>IF(数据!A6="西藏自治区",0,数据!C6/SUMIF(数据!$A$2:$A$32,"&lt;&gt;西藏自治区",数据!$C$2:$C$32)*100)</f>
        <v>1.70257668011807</v>
      </c>
      <c r="D6">
        <f>IF(数据!A6="西藏自治区",0,数据!F6/SUMIF(数据!$A$2:$A$32,"&lt;&gt;西藏自治区",数据!$F$2:$F$32)*100)</f>
        <v>3.72197941632595</v>
      </c>
      <c r="E6" s="1">
        <f t="shared" si="0"/>
        <v>11.9486945486175</v>
      </c>
      <c r="F6" s="5">
        <f t="shared" si="1"/>
        <v>21.3731848301142</v>
      </c>
    </row>
    <row r="7" spans="1:6">
      <c r="A7">
        <v>6</v>
      </c>
      <c r="B7" s="3" t="str">
        <f>指标!A7</f>
        <v>辽宁省</v>
      </c>
      <c r="C7">
        <f>IF(数据!A7="西藏自治区",0,数据!C7/SUMIF(数据!$A$2:$A$32,"&lt;&gt;西藏自治区",数据!$C$2:$C$32)*100)</f>
        <v>2.96239786678835</v>
      </c>
      <c r="D7">
        <f>IF(数据!A7="西藏自治区",0,数据!F7/SUMIF(数据!$A$2:$A$32,"&lt;&gt;西藏自治区",数据!$F$2:$F$32)*100)</f>
        <v>4.37050613280699</v>
      </c>
      <c r="E7" s="1">
        <f t="shared" si="0"/>
        <v>14.9110924154059</v>
      </c>
      <c r="F7" s="5">
        <f t="shared" si="1"/>
        <v>25.7436909629212</v>
      </c>
    </row>
    <row r="8" spans="1:6">
      <c r="A8">
        <v>7</v>
      </c>
      <c r="B8" s="3" t="str">
        <f>指标!A8</f>
        <v>吉林省</v>
      </c>
      <c r="C8">
        <f>IF(数据!A8="西藏自治区",0,数据!C8/SUMIF(数据!$A$2:$A$32,"&lt;&gt;西藏自治区",数据!$C$2:$C$32)*100)</f>
        <v>1.65195568167235</v>
      </c>
      <c r="D8">
        <f>IF(数据!A8="西藏自治区",0,数据!F8/SUMIF(数据!$A$2:$A$32,"&lt;&gt;西藏自治区",数据!$F$2:$F$32)*100)</f>
        <v>6.6262512336106</v>
      </c>
      <c r="E8" s="1">
        <f t="shared" si="0"/>
        <v>16.5630480970782</v>
      </c>
      <c r="F8" s="5">
        <f t="shared" si="1"/>
        <v>32.3699421965318</v>
      </c>
    </row>
    <row r="9" spans="1:6">
      <c r="A9">
        <v>8</v>
      </c>
      <c r="B9" s="3" t="str">
        <f>指标!A9</f>
        <v>黑龙江省</v>
      </c>
      <c r="C9">
        <f>IF(数据!A9="西藏自治区",0,数据!C9/SUMIF(数据!$A$2:$A$32,"&lt;&gt;西藏自治区",数据!$C$2:$C$32)*100)</f>
        <v>2.15959160974775</v>
      </c>
      <c r="D9">
        <f>IF(数据!A9="西藏自治区",0,数据!F9/SUMIF(数据!$A$2:$A$32,"&lt;&gt;西藏自治区",数据!$F$2:$F$32)*100)</f>
        <v>3.46820809248555</v>
      </c>
      <c r="E9" s="1">
        <f t="shared" si="0"/>
        <v>18.722639706826</v>
      </c>
      <c r="F9" s="5">
        <f t="shared" si="1"/>
        <v>35.8381502890173</v>
      </c>
    </row>
    <row r="10" spans="1:6">
      <c r="A10">
        <v>9</v>
      </c>
      <c r="B10" s="3" t="str">
        <f>指标!A10</f>
        <v>上海市</v>
      </c>
      <c r="C10">
        <f>IF(数据!A10="西藏自治区",0,数据!C10/SUMIF(数据!$A$2:$A$32,"&lt;&gt;西藏自治区",数据!$C$2:$C$32)*100)</f>
        <v>1.76817008655478</v>
      </c>
      <c r="D10">
        <f>IF(数据!A10="西藏自治区",0,数据!F10/SUMIF(数据!$A$2:$A$32,"&lt;&gt;西藏自治区",数据!$F$2:$F$32)*100)</f>
        <v>5.11772169744819</v>
      </c>
      <c r="E10" s="1">
        <f t="shared" si="0"/>
        <v>20.4908097933808</v>
      </c>
      <c r="F10" s="5">
        <f t="shared" si="1"/>
        <v>40.9558719864655</v>
      </c>
    </row>
    <row r="11" spans="1:6">
      <c r="A11">
        <v>10</v>
      </c>
      <c r="B11" s="3" t="str">
        <f>指标!A11</f>
        <v>江苏省</v>
      </c>
      <c r="C11">
        <f>IF(数据!A11="西藏自治区",0,数据!C11/SUMIF(数据!$A$2:$A$32,"&lt;&gt;西藏自治区",数据!$C$2:$C$32)*100)</f>
        <v>6.07879764434114</v>
      </c>
      <c r="D11">
        <f>IF(数据!A11="西藏自治区",0,数据!F11/SUMIF(数据!$A$2:$A$32,"&lt;&gt;西藏自治区",数据!$F$2:$F$32)*100)</f>
        <v>2.65050049344424</v>
      </c>
      <c r="E11" s="1">
        <f t="shared" si="0"/>
        <v>26.5696074377219</v>
      </c>
      <c r="F11" s="5">
        <f t="shared" si="1"/>
        <v>43.6063724799098</v>
      </c>
    </row>
    <row r="12" spans="1:6">
      <c r="A12">
        <v>11</v>
      </c>
      <c r="B12" s="3" t="str">
        <f>指标!A12</f>
        <v>浙江省</v>
      </c>
      <c r="C12">
        <f>IF(数据!A12="西藏自治区",0,数据!C12/SUMIF(数据!$A$2:$A$32,"&lt;&gt;西藏自治区",数据!$C$2:$C$32)*100)</f>
        <v>4.75552196666144</v>
      </c>
      <c r="D12">
        <f>IF(数据!A12="西藏自治区",0,数据!F12/SUMIF(数据!$A$2:$A$32,"&lt;&gt;西藏自治区",数据!$F$2:$F$32)*100)</f>
        <v>3.1862399548851</v>
      </c>
      <c r="E12" s="1">
        <f t="shared" si="0"/>
        <v>31.3251294043834</v>
      </c>
      <c r="F12" s="5">
        <f t="shared" si="1"/>
        <v>46.7926124347949</v>
      </c>
    </row>
    <row r="13" spans="1:6">
      <c r="A13">
        <v>12</v>
      </c>
      <c r="B13" s="3" t="str">
        <f>指标!A13</f>
        <v>安徽省</v>
      </c>
      <c r="C13">
        <f>IF(数据!A13="西藏自治区",0,数据!C13/SUMIF(数据!$A$2:$A$32,"&lt;&gt;西藏自治区",数据!$C$2:$C$32)*100)</f>
        <v>4.36552638708665</v>
      </c>
      <c r="D13">
        <f>IF(数据!A13="西藏自治区",0,数据!F13/SUMIF(数据!$A$2:$A$32,"&lt;&gt;西藏自治区",数据!$F$2:$F$32)*100)</f>
        <v>1.95967855632314</v>
      </c>
      <c r="E13" s="1">
        <f t="shared" si="0"/>
        <v>35.69065579147</v>
      </c>
      <c r="F13" s="5">
        <f t="shared" si="1"/>
        <v>48.752290991118</v>
      </c>
    </row>
    <row r="14" spans="1:6">
      <c r="A14">
        <v>13</v>
      </c>
      <c r="B14" s="3" t="str">
        <f>指标!A14</f>
        <v>福建省</v>
      </c>
      <c r="C14">
        <f>IF(数据!A14="西藏自治区",0,数据!C14/SUMIF(数据!$A$2:$A$32,"&lt;&gt;西藏自治区",数据!$C$2:$C$32)*100)</f>
        <v>2.98949079553394</v>
      </c>
      <c r="D14">
        <f>IF(数据!A14="西藏自治区",0,数据!F14/SUMIF(数据!$A$2:$A$32,"&lt;&gt;西藏自治区",数据!$F$2:$F$32)*100)</f>
        <v>3.28492880304526</v>
      </c>
      <c r="E14" s="1">
        <f t="shared" si="0"/>
        <v>38.680146587004</v>
      </c>
      <c r="F14" s="5">
        <f t="shared" si="1"/>
        <v>52.0372197941633</v>
      </c>
    </row>
    <row r="15" spans="1:6">
      <c r="A15">
        <v>14</v>
      </c>
      <c r="B15" s="3" t="str">
        <f>指标!A15</f>
        <v>江西省</v>
      </c>
      <c r="C15">
        <f>IF(数据!A15="西藏自治区",0,数据!C15/SUMIF(数据!$A$2:$A$32,"&lt;&gt;西藏自治区",数据!$C$2:$C$32)*100)</f>
        <v>3.2097990845442</v>
      </c>
      <c r="D15">
        <f>IF(数据!A15="西藏自治区",0,数据!F15/SUMIF(数据!$A$2:$A$32,"&lt;&gt;西藏自治区",数据!$F$2:$F$32)*100)</f>
        <v>1.94558014944311</v>
      </c>
      <c r="E15" s="1">
        <f t="shared" si="0"/>
        <v>41.8899456715481</v>
      </c>
      <c r="F15" s="5">
        <f t="shared" si="1"/>
        <v>53.9827999436064</v>
      </c>
    </row>
    <row r="16" spans="1:6">
      <c r="A16">
        <v>15</v>
      </c>
      <c r="B16" s="3" t="str">
        <f>指标!A16</f>
        <v>山东省</v>
      </c>
      <c r="C16">
        <f>IF(数据!A16="西藏自治区",0,数据!C16/SUMIF(数据!$A$2:$A$32,"&lt;&gt;西藏自治区",数据!$C$2:$C$32)*100)</f>
        <v>7.18675583567426</v>
      </c>
      <c r="D16">
        <f>IF(数据!A16="西藏自治区",0,数据!F16/SUMIF(数据!$A$2:$A$32,"&lt;&gt;西藏自治区",数据!$F$2:$F$32)*100)</f>
        <v>2.46722120400395</v>
      </c>
      <c r="E16" s="1">
        <f t="shared" si="0"/>
        <v>49.0767015072224</v>
      </c>
      <c r="F16" s="5">
        <f t="shared" si="1"/>
        <v>56.4500211476103</v>
      </c>
    </row>
    <row r="17" spans="1:6">
      <c r="A17">
        <v>16</v>
      </c>
      <c r="B17" s="3" t="str">
        <f>指标!A17</f>
        <v>河南省</v>
      </c>
      <c r="C17">
        <f>IF(数据!A17="西藏自治区",0,数据!C17/SUMIF(数据!$A$2:$A$32,"&lt;&gt;西藏自治区",数据!$C$2:$C$32)*100)</f>
        <v>6.97642915199133</v>
      </c>
      <c r="D17">
        <f>IF(数据!A17="西藏自治区",0,数据!F17/SUMIF(数据!$A$2:$A$32,"&lt;&gt;西藏自治区",数据!$F$2:$F$32)*100)</f>
        <v>1.36754546736219</v>
      </c>
      <c r="E17" s="1">
        <f t="shared" si="0"/>
        <v>56.0531306592137</v>
      </c>
      <c r="F17" s="5">
        <f t="shared" si="1"/>
        <v>57.8175666149725</v>
      </c>
    </row>
    <row r="18" spans="1:6">
      <c r="A18">
        <v>17</v>
      </c>
      <c r="B18" s="3" t="str">
        <f>指标!A18</f>
        <v>湖北省</v>
      </c>
      <c r="C18">
        <f>IF(数据!A18="西藏自治区",0,数据!C18/SUMIF(数据!$A$2:$A$32,"&lt;&gt;西藏自治区",数据!$C$2:$C$32)*100)</f>
        <v>4.1594775342583</v>
      </c>
      <c r="D18">
        <f>IF(数据!A18="西藏自治区",0,数据!F18/SUMIF(数据!$A$2:$A$32,"&lt;&gt;西藏自治区",数据!$F$2:$F$32)*100)</f>
        <v>3.21443676864514</v>
      </c>
      <c r="E18" s="1">
        <f t="shared" si="0"/>
        <v>60.212608193472</v>
      </c>
      <c r="F18" s="5">
        <f t="shared" si="1"/>
        <v>61.0320033836176</v>
      </c>
    </row>
    <row r="19" spans="1:6">
      <c r="A19">
        <v>18</v>
      </c>
      <c r="B19" s="3" t="str">
        <f>指标!A19</f>
        <v>湖南省</v>
      </c>
      <c r="C19">
        <f>IF(数据!A19="西藏自治区",0,数据!C19/SUMIF(数据!$A$2:$A$32,"&lt;&gt;西藏自治区",数据!$C$2:$C$32)*100)</f>
        <v>4.66212265967004</v>
      </c>
      <c r="D19">
        <f>IF(数据!A19="西藏自治区",0,数据!F19/SUMIF(数据!$A$2:$A$32,"&lt;&gt;西藏自治区",数据!$F$2:$F$32)*100)</f>
        <v>2.38263076272381</v>
      </c>
      <c r="E19" s="1">
        <f t="shared" si="0"/>
        <v>64.8747308531421</v>
      </c>
      <c r="F19" s="5">
        <f t="shared" si="1"/>
        <v>63.4146341463415</v>
      </c>
    </row>
    <row r="20" spans="1:6">
      <c r="A20">
        <v>19</v>
      </c>
      <c r="B20" s="3" t="str">
        <f>指标!A20</f>
        <v>广东省</v>
      </c>
      <c r="C20">
        <f>IF(数据!A20="西藏自治区",0,数据!C20/SUMIF(数据!$A$2:$A$32,"&lt;&gt;西藏自治区",数据!$C$2:$C$32)*100)</f>
        <v>9.11177972022986</v>
      </c>
      <c r="D20">
        <f>IF(数据!A20="西藏自治区",0,数据!F20/SUMIF(数据!$A$2:$A$32,"&lt;&gt;西藏自治区",数据!$F$2:$F$32)*100)</f>
        <v>2.38263076272381</v>
      </c>
      <c r="E20" s="1">
        <f t="shared" si="0"/>
        <v>73.9865105733719</v>
      </c>
      <c r="F20" s="5">
        <f t="shared" si="1"/>
        <v>65.7972649090653</v>
      </c>
    </row>
    <row r="21" spans="1:6">
      <c r="A21">
        <v>20</v>
      </c>
      <c r="B21" s="3" t="str">
        <f>指标!A21</f>
        <v>广西壮族自治区</v>
      </c>
      <c r="C21">
        <f>IF(数据!A21="西藏自治区",0,数据!C21/SUMIF(数据!$A$2:$A$32,"&lt;&gt;西藏自治区",数据!$C$2:$C$32)*100)</f>
        <v>3.57412767899157</v>
      </c>
      <c r="D21">
        <f>IF(数据!A21="西藏自治区",0,数据!F21/SUMIF(数据!$A$2:$A$32,"&lt;&gt;西藏自治区",数据!$F$2:$F$32)*100)</f>
        <v>1.95967855632314</v>
      </c>
      <c r="E21" s="1">
        <f t="shared" si="0"/>
        <v>77.5606382523635</v>
      </c>
      <c r="F21" s="5">
        <f t="shared" si="1"/>
        <v>67.7569434653884</v>
      </c>
    </row>
    <row r="22" spans="1:6">
      <c r="A22">
        <v>21</v>
      </c>
      <c r="B22" s="3" t="str">
        <f>指标!A22</f>
        <v>海南省</v>
      </c>
      <c r="C22">
        <f>IF(数据!A22="西藏自治区",0,数据!C22/SUMIF(数据!$A$2:$A$32,"&lt;&gt;西藏自治区",数据!$C$2:$C$32)*100)</f>
        <v>0.747194455931212</v>
      </c>
      <c r="D22">
        <f>IF(数据!A22="西藏自治区",0,数据!F22/SUMIF(数据!$A$2:$A$32,"&lt;&gt;西藏自治区",数据!$F$2:$F$32)*100)</f>
        <v>2.60820527280417</v>
      </c>
      <c r="E22" s="1">
        <f t="shared" si="0"/>
        <v>78.3078327082947</v>
      </c>
      <c r="F22" s="5">
        <f t="shared" si="1"/>
        <v>70.3651487381926</v>
      </c>
    </row>
    <row r="23" spans="1:6">
      <c r="A23">
        <v>22</v>
      </c>
      <c r="B23" s="3" t="str">
        <f>指标!A23</f>
        <v>重庆市</v>
      </c>
      <c r="C23">
        <f>IF(数据!A23="西藏自治区",0,数据!C23/SUMIF(数据!$A$2:$A$32,"&lt;&gt;西藏自治区",数据!$C$2:$C$32)*100)</f>
        <v>2.27438007101199</v>
      </c>
      <c r="D23">
        <f>IF(数据!A23="西藏自治区",0,数据!F23/SUMIF(数据!$A$2:$A$32,"&lt;&gt;西藏自治区",数据!$F$2:$F$32)*100)</f>
        <v>3.77837304384605</v>
      </c>
      <c r="E23" s="1">
        <f t="shared" si="0"/>
        <v>80.5822127793067</v>
      </c>
      <c r="F23" s="5">
        <f t="shared" si="1"/>
        <v>74.1435217820386</v>
      </c>
    </row>
    <row r="24" spans="1:6">
      <c r="A24">
        <v>23</v>
      </c>
      <c r="B24" s="3" t="str">
        <f>指标!A24</f>
        <v>四川省</v>
      </c>
      <c r="C24">
        <f>IF(数据!A24="西藏自治区",0,数据!C24/SUMIF(数据!$A$2:$A$32,"&lt;&gt;西藏自治区",数据!$C$2:$C$32)*100)</f>
        <v>5.96329621126781</v>
      </c>
      <c r="D24">
        <f>IF(数据!A24="西藏自治区",0,数据!F24/SUMIF(数据!$A$2:$A$32,"&lt;&gt;西藏自治区",数据!$F$2:$F$32)*100)</f>
        <v>2.49541801776399</v>
      </c>
      <c r="E24" s="1">
        <f t="shared" si="0"/>
        <v>86.5455089905745</v>
      </c>
      <c r="F24" s="5">
        <f t="shared" si="1"/>
        <v>76.6389397998026</v>
      </c>
    </row>
    <row r="25" spans="1:6">
      <c r="A25">
        <v>24</v>
      </c>
      <c r="B25" s="3" t="str">
        <f>指标!A25</f>
        <v>贵州省</v>
      </c>
      <c r="C25">
        <f>IF(数据!A25="西藏自治区",0,数据!C25/SUMIF(数据!$A$2:$A$32,"&lt;&gt;西藏自治区",数据!$C$2:$C$32)*100)</f>
        <v>2.75207118310542</v>
      </c>
      <c r="D25">
        <f>IF(数据!A25="西藏自治区",0,数据!F25/SUMIF(数据!$A$2:$A$32,"&lt;&gt;西藏自治区",数据!$F$2:$F$32)*100)</f>
        <v>2.15705625264345</v>
      </c>
      <c r="E25" s="1">
        <f t="shared" si="0"/>
        <v>89.2975801736799</v>
      </c>
      <c r="F25" s="5">
        <f t="shared" si="1"/>
        <v>78.7959960524461</v>
      </c>
    </row>
    <row r="26" spans="1:6">
      <c r="A26">
        <v>25</v>
      </c>
      <c r="B26" s="3" t="str">
        <f>指标!A26</f>
        <v>云南省</v>
      </c>
      <c r="C26">
        <f>IF(数据!A26="西藏自治区",0,数据!C26/SUMIF(数据!$A$2:$A$32,"&lt;&gt;西藏自治区",数据!$C$2:$C$32)*100)</f>
        <v>3.31888377133568</v>
      </c>
      <c r="D26">
        <f>IF(数据!A26="西藏自治区",0,数据!F26/SUMIF(数据!$A$2:$A$32,"&lt;&gt;西藏自治区",数据!$F$2:$F$32)*100)</f>
        <v>1.62131679120259</v>
      </c>
      <c r="E26" s="1">
        <f t="shared" si="0"/>
        <v>92.6164639450156</v>
      </c>
      <c r="F26" s="5">
        <f t="shared" si="1"/>
        <v>80.4173128436487</v>
      </c>
    </row>
    <row r="27" spans="1:6">
      <c r="A27">
        <v>26</v>
      </c>
      <c r="B27" s="3" t="str">
        <f>指标!A27</f>
        <v>西藏自治区</v>
      </c>
      <c r="C27">
        <f>IF(数据!A27="西藏自治区",0,数据!C27/SUMIF(数据!$A$2:$A$32,"&lt;&gt;西藏自治区",数据!$C$2:$C$32)*100)</f>
        <v>0</v>
      </c>
      <c r="D27">
        <f>IF(数据!A27="西藏自治区",0,数据!F27/SUMIF(数据!$A$2:$A$32,"&lt;&gt;西藏自治区",数据!$F$2:$F$32)*100)</f>
        <v>0</v>
      </c>
      <c r="E27" s="1">
        <f t="shared" si="0"/>
        <v>92.6164639450156</v>
      </c>
      <c r="F27" s="5">
        <f t="shared" si="1"/>
        <v>80.4173128436487</v>
      </c>
    </row>
    <row r="28" spans="1:6">
      <c r="A28">
        <v>27</v>
      </c>
      <c r="B28" s="3" t="str">
        <f>指标!A28</f>
        <v>陕西省</v>
      </c>
      <c r="C28">
        <f>IF(数据!A28="西藏自治区",0,数据!C28/SUMIF(数据!$A$2:$A$32,"&lt;&gt;西藏自治区",数据!$C$2:$C$32)*100)</f>
        <v>2.81837756135122</v>
      </c>
      <c r="D28">
        <f>IF(数据!A28="西藏自治区",0,数据!F28/SUMIF(数据!$A$2:$A$32,"&lt;&gt;西藏自治区",数据!$F$2:$F$32)*100)</f>
        <v>4.17312843648668</v>
      </c>
      <c r="E28" s="1">
        <f t="shared" si="0"/>
        <v>95.4348415063668</v>
      </c>
      <c r="F28" s="5">
        <f t="shared" si="1"/>
        <v>84.5904412801354</v>
      </c>
    </row>
    <row r="29" spans="1:6">
      <c r="A29">
        <v>28</v>
      </c>
      <c r="B29" s="3" t="str">
        <f>指标!A29</f>
        <v>甘肃省</v>
      </c>
      <c r="C29">
        <f>IF(数据!A29="西藏自治区",0,数据!C29/SUMIF(数据!$A$2:$A$32,"&lt;&gt;西藏自治区",数据!$C$2:$C$32)*100)</f>
        <v>1.7524847067547</v>
      </c>
      <c r="D29">
        <f>IF(数据!A29="西藏自治区",0,数据!F29/SUMIF(数据!$A$2:$A$32,"&lt;&gt;西藏自治区",数据!$F$2:$F$32)*100)</f>
        <v>4.17312843648668</v>
      </c>
      <c r="E29" s="1">
        <f t="shared" si="0"/>
        <v>97.1873262131215</v>
      </c>
      <c r="F29" s="5">
        <f t="shared" si="1"/>
        <v>88.763569716622</v>
      </c>
    </row>
    <row r="30" spans="1:6">
      <c r="A30">
        <v>29</v>
      </c>
      <c r="B30" s="3" t="str">
        <f>指标!A30</f>
        <v>青海省</v>
      </c>
      <c r="C30">
        <f>IF(数据!A30="西藏自治区",0,数据!C30/SUMIF(数据!$A$2:$A$32,"&lt;&gt;西藏自治区",数据!$C$2:$C$32)*100)</f>
        <v>0.422792282793138</v>
      </c>
      <c r="D30">
        <f>IF(数据!A30="西藏自治区",0,数据!F30/SUMIF(数据!$A$2:$A$32,"&lt;&gt;西藏自治区",数据!$F$2:$F$32)*100)</f>
        <v>3.69378260256591</v>
      </c>
      <c r="E30" s="1">
        <f t="shared" si="0"/>
        <v>97.6101184959147</v>
      </c>
      <c r="F30" s="5">
        <f t="shared" si="1"/>
        <v>92.4573523191879</v>
      </c>
    </row>
    <row r="31" spans="1:6">
      <c r="A31">
        <v>30</v>
      </c>
      <c r="B31" s="3" t="str">
        <f>指标!A31</f>
        <v>宁夏回族自治区</v>
      </c>
      <c r="C31">
        <f>IF(数据!A31="西藏自治区",0,数据!C31/SUMIF(数据!$A$2:$A$32,"&lt;&gt;西藏自治区",数据!$C$2:$C$32)*100)</f>
        <v>0.519756448830013</v>
      </c>
      <c r="D31">
        <f>IF(数据!A31="西藏自治区",0,数据!F31/SUMIF(数据!$A$2:$A$32,"&lt;&gt;西藏自治区",数据!$F$2:$F$32)*100)</f>
        <v>2.8760750035246</v>
      </c>
      <c r="E31" s="1">
        <f t="shared" si="0"/>
        <v>98.1298749447447</v>
      </c>
      <c r="F31" s="5">
        <f t="shared" si="1"/>
        <v>95.3334273227126</v>
      </c>
    </row>
    <row r="32" spans="1:6">
      <c r="A32">
        <v>31</v>
      </c>
      <c r="B32" s="3" t="str">
        <f>指标!A32</f>
        <v>新疆维吾尔自治区</v>
      </c>
      <c r="C32">
        <f>IF(数据!A32="西藏自治区",0,数据!C32/SUMIF(数据!$A$2:$A$32,"&lt;&gt;西藏自治区",数据!$C$2:$C$32)*100)</f>
        <v>1.87012505525532</v>
      </c>
      <c r="D32">
        <f>IF(数据!A32="西藏自治区",0,数据!F32/SUMIF(数据!$A$2:$A$32,"&lt;&gt;西藏自治区",数据!$F$2:$F$32)*100)</f>
        <v>4.66657267728747</v>
      </c>
      <c r="E32" s="1">
        <f t="shared" si="0"/>
        <v>100</v>
      </c>
      <c r="F32" s="5">
        <f t="shared" si="1"/>
        <v>100</v>
      </c>
    </row>
    <row r="33" spans="5:6">
      <c r="E33">
        <v>0</v>
      </c>
      <c r="F33">
        <v>0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H17" sqref="H17"/>
    </sheetView>
  </sheetViews>
  <sheetFormatPr defaultColWidth="8.72727272727273" defaultRowHeight="14" outlineLevelCol="1"/>
  <sheetData>
    <row r="1" spans="1:1">
      <c r="A1" s="1" t="s">
        <v>82</v>
      </c>
    </row>
    <row r="3" spans="1:1">
      <c r="A3" s="2" t="s">
        <v>83</v>
      </c>
    </row>
    <row r="4" spans="1:2">
      <c r="A4" s="3" t="s">
        <v>84</v>
      </c>
      <c r="B4" s="3" t="str" cm="1">
        <f t="array" ref="B4">INDEX(指标!A:A,MATCH(MAX(指标!F:F),指标!F:F,0))</f>
        <v>北京市</v>
      </c>
    </row>
    <row r="5" spans="1:2">
      <c r="A5" s="3" t="s">
        <v>85</v>
      </c>
      <c r="B5" s="3" t="str" cm="1">
        <f t="array" ref="B5">INDEX(指标!A:A,MATCH(MIN(指标!G:G),指标!G:G,0))</f>
        <v>河南省</v>
      </c>
    </row>
    <row r="6" spans="1:2">
      <c r="A6" s="3" t="s">
        <v>86</v>
      </c>
      <c r="B6" s="3" t="str" cm="1">
        <f t="array" ref="B6">INDEX(指标!A:A,MATCH(MAX(指标!E:E),指标!E:E,0))</f>
        <v>河南省</v>
      </c>
    </row>
    <row r="7" spans="1:2">
      <c r="A7" s="3" t="s">
        <v>87</v>
      </c>
      <c r="B7" s="3" t="str">
        <f>TEXT(计算!B10,"0.000")</f>
        <v>-0.246</v>
      </c>
    </row>
    <row r="8" spans="1:2">
      <c r="A8" s="3" t="s">
        <v>88</v>
      </c>
      <c r="B8" t="str">
        <f>TEXT(公平性!H2,"0.000")</f>
        <v>0.721</v>
      </c>
    </row>
    <row r="9" spans="1:1">
      <c r="A9" s="4"/>
    </row>
    <row r="12" spans="1:1">
      <c r="A12" s="4"/>
    </row>
    <row r="15" spans="1:1">
      <c r="A15" s="4"/>
    </row>
    <row r="17" spans="1:1">
      <c r="A1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</vt:lpstr>
      <vt:lpstr>指标</vt:lpstr>
      <vt:lpstr>计算</vt:lpstr>
      <vt:lpstr>效率</vt:lpstr>
      <vt:lpstr>公平性</vt:lpstr>
      <vt:lpstr>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尚金朝</dc:creator>
  <cp:lastModifiedBy>WPS_1720538958</cp:lastModifiedBy>
  <dcterms:created xsi:type="dcterms:W3CDTF">2023-05-12T11:15:00Z</dcterms:created>
  <dcterms:modified xsi:type="dcterms:W3CDTF">2026-01-04T12:21:17Z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7A418805C81D4581978F0BA948CA7A4D_12</vt:lpwstr>
  </property>
</Properties>
</file>